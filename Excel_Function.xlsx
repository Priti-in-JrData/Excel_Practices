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375"/>
  <workbookPr defaultThemeVersion="166925"/>
  <mc:AlternateContent xmlns:mc="http://schemas.openxmlformats.org/markup-compatibility/2006">
    <mc:Choice Requires="x15">
      <x15ac:absPath xmlns:x15ac="http://schemas.microsoft.com/office/spreadsheetml/2010/11/ac" url="E:\Preeti(EXCEL)\"/>
    </mc:Choice>
  </mc:AlternateContent>
  <xr:revisionPtr revIDLastSave="0" documentId="13_ncr:1_{A967A65E-97CF-4594-BDED-AA77C316C822}" xr6:coauthVersionLast="36" xr6:coauthVersionMax="36" xr10:uidLastSave="{00000000-0000-0000-0000-000000000000}"/>
  <bookViews>
    <workbookView xWindow="0" yWindow="0" windowWidth="20490" windowHeight="7545" activeTab="3" xr2:uid="{7B572036-1714-4B53-A176-FD70F997E134}"/>
  </bookViews>
  <sheets>
    <sheet name="Date &amp; Time" sheetId="11" r:id="rId1"/>
    <sheet name="TEXT" sheetId="12" r:id="rId2"/>
    <sheet name="Math &amp; Trignamatry" sheetId="1" r:id="rId3"/>
    <sheet name="Statistical" sheetId="13" r:id="rId4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H34" i="1" l="1"/>
  <c r="A1" i="12"/>
  <c r="L17" i="12"/>
  <c r="L18" i="12"/>
  <c r="L19" i="12"/>
  <c r="L20" i="12"/>
  <c r="L21" i="12"/>
  <c r="L22" i="12"/>
  <c r="L23" i="12"/>
  <c r="L16" i="12"/>
  <c r="I17" i="12"/>
  <c r="I18" i="12"/>
  <c r="I19" i="12"/>
  <c r="I20" i="12"/>
  <c r="I21" i="12"/>
  <c r="I22" i="12"/>
  <c r="I23" i="12"/>
  <c r="I16" i="12"/>
  <c r="F17" i="12"/>
  <c r="F18" i="12"/>
  <c r="F19" i="12"/>
  <c r="F20" i="12"/>
  <c r="F21" i="12"/>
  <c r="F22" i="12"/>
  <c r="F23" i="12"/>
  <c r="F16" i="12"/>
  <c r="B17" i="12"/>
  <c r="B18" i="12"/>
  <c r="B19" i="12"/>
  <c r="B20" i="12"/>
  <c r="B21" i="12"/>
  <c r="B22" i="12"/>
  <c r="B23" i="12"/>
  <c r="B16" i="12"/>
  <c r="R5" i="12"/>
  <c r="R12" i="12"/>
  <c r="R11" i="12"/>
  <c r="R10" i="12"/>
  <c r="R9" i="12"/>
  <c r="R8" i="12"/>
  <c r="R7" i="12"/>
  <c r="R6" i="12"/>
  <c r="L6" i="12"/>
  <c r="L7" i="12"/>
  <c r="L8" i="12"/>
  <c r="L9" i="12"/>
  <c r="L10" i="12"/>
  <c r="L11" i="12"/>
  <c r="L12" i="12"/>
  <c r="L5" i="12"/>
  <c r="O6" i="12"/>
  <c r="O7" i="12"/>
  <c r="O8" i="12"/>
  <c r="O9" i="12"/>
  <c r="O10" i="12"/>
  <c r="O11" i="12"/>
  <c r="O12" i="12"/>
  <c r="O5" i="12"/>
  <c r="K6" i="12"/>
  <c r="K7" i="12"/>
  <c r="K8" i="12"/>
  <c r="K9" i="12"/>
  <c r="K10" i="12"/>
  <c r="K11" i="12"/>
  <c r="K12" i="12"/>
  <c r="K5" i="12"/>
  <c r="H6" i="12"/>
  <c r="H7" i="12"/>
  <c r="H8" i="12"/>
  <c r="H9" i="12"/>
  <c r="H10" i="12"/>
  <c r="H11" i="12"/>
  <c r="H12" i="12"/>
  <c r="H5" i="12"/>
  <c r="E6" i="12"/>
  <c r="E7" i="12"/>
  <c r="E8" i="12"/>
  <c r="E9" i="12"/>
  <c r="E10" i="12"/>
  <c r="E11" i="12"/>
  <c r="E12" i="12"/>
  <c r="E5" i="12"/>
  <c r="B6" i="12"/>
  <c r="B7" i="12"/>
  <c r="B8" i="12"/>
  <c r="B9" i="12"/>
  <c r="B10" i="12"/>
  <c r="B11" i="12"/>
  <c r="B12" i="12"/>
  <c r="B5" i="12"/>
  <c r="R3" i="11"/>
  <c r="R4" i="11"/>
  <c r="R5" i="11"/>
  <c r="R6" i="11"/>
  <c r="R7" i="11"/>
  <c r="Q3" i="11"/>
  <c r="Q4" i="11"/>
  <c r="Q5" i="11"/>
  <c r="Q6" i="11"/>
  <c r="Q7" i="11"/>
  <c r="R2" i="11"/>
  <c r="Q2" i="11"/>
  <c r="P3" i="11"/>
  <c r="P4" i="11"/>
  <c r="P5" i="11"/>
  <c r="P6" i="11"/>
  <c r="P7" i="11"/>
  <c r="P2" i="11"/>
  <c r="O3" i="11"/>
  <c r="O4" i="11"/>
  <c r="O5" i="11"/>
  <c r="O6" i="11"/>
  <c r="O7" i="11"/>
  <c r="O2" i="11"/>
  <c r="B3" i="11"/>
  <c r="D11" i="11" l="1"/>
  <c r="I11" i="11" s="1"/>
  <c r="D12" i="11"/>
  <c r="E12" i="11" s="1"/>
  <c r="D13" i="11"/>
  <c r="G13" i="11" s="1"/>
  <c r="D14" i="11"/>
  <c r="E14" i="11" s="1"/>
  <c r="D15" i="11"/>
  <c r="I15" i="11" s="1"/>
  <c r="D16" i="11"/>
  <c r="E16" i="11" s="1"/>
  <c r="D17" i="11"/>
  <c r="G17" i="11" s="1"/>
  <c r="D18" i="11"/>
  <c r="E18" i="11" s="1"/>
  <c r="D19" i="11"/>
  <c r="I19" i="11" s="1"/>
  <c r="D20" i="11"/>
  <c r="E20" i="11" s="1"/>
  <c r="D10" i="11"/>
  <c r="I10" i="11" s="1"/>
  <c r="E11" i="11"/>
  <c r="E5" i="11"/>
  <c r="E4" i="11"/>
  <c r="E3" i="11"/>
  <c r="B5" i="11"/>
  <c r="B4" i="11"/>
  <c r="F11" i="11" l="1"/>
  <c r="E15" i="11"/>
  <c r="F18" i="11"/>
  <c r="F17" i="11"/>
  <c r="E13" i="11"/>
  <c r="F13" i="11"/>
  <c r="G19" i="11"/>
  <c r="H14" i="11"/>
  <c r="G15" i="11"/>
  <c r="E19" i="11"/>
  <c r="F15" i="11"/>
  <c r="E17" i="11"/>
  <c r="F19" i="11"/>
  <c r="F14" i="11"/>
  <c r="G11" i="11"/>
  <c r="I17" i="11"/>
  <c r="H18" i="11"/>
  <c r="I13" i="11"/>
  <c r="E10" i="11"/>
  <c r="G3" i="11"/>
  <c r="G20" i="11"/>
  <c r="G16" i="11"/>
  <c r="G12" i="11"/>
  <c r="H19" i="11"/>
  <c r="H15" i="11"/>
  <c r="H11" i="11"/>
  <c r="I18" i="11"/>
  <c r="I14" i="11"/>
  <c r="F16" i="11"/>
  <c r="F12" i="11"/>
  <c r="G18" i="11"/>
  <c r="G14" i="11"/>
  <c r="H10" i="11"/>
  <c r="H17" i="11"/>
  <c r="H13" i="11"/>
  <c r="I20" i="11"/>
  <c r="I16" i="11"/>
  <c r="I12" i="11"/>
  <c r="G10" i="11"/>
  <c r="H20" i="11"/>
  <c r="H16" i="11"/>
  <c r="H12" i="11"/>
  <c r="F20" i="11"/>
  <c r="F10" i="11"/>
  <c r="H38" i="1"/>
  <c r="A36" i="1"/>
  <c r="T23" i="1" l="1"/>
  <c r="T24" i="1"/>
  <c r="T25" i="1"/>
  <c r="T26" i="1"/>
  <c r="T27" i="1"/>
  <c r="T28" i="1"/>
  <c r="T29" i="1"/>
  <c r="T30" i="1"/>
  <c r="T31" i="1"/>
  <c r="T32" i="1"/>
  <c r="T33" i="1"/>
  <c r="T34" i="1"/>
  <c r="T35" i="1"/>
  <c r="T36" i="1"/>
  <c r="T22" i="1"/>
  <c r="Q23" i="1"/>
  <c r="Q24" i="1"/>
  <c r="Q25" i="1"/>
  <c r="Q26" i="1"/>
  <c r="Q27" i="1"/>
  <c r="Q28" i="1"/>
  <c r="Q29" i="1"/>
  <c r="Q30" i="1"/>
  <c r="Q31" i="1"/>
  <c r="Q32" i="1"/>
  <c r="Q33" i="1"/>
  <c r="Q34" i="1"/>
  <c r="Q35" i="1"/>
  <c r="Q36" i="1"/>
  <c r="Q22" i="1"/>
  <c r="N23" i="1"/>
  <c r="N24" i="1"/>
  <c r="N25" i="1"/>
  <c r="N26" i="1"/>
  <c r="N27" i="1"/>
  <c r="N28" i="1"/>
  <c r="N29" i="1"/>
  <c r="N30" i="1"/>
  <c r="N31" i="1"/>
  <c r="N32" i="1"/>
  <c r="N33" i="1"/>
  <c r="N34" i="1"/>
  <c r="N35" i="1"/>
  <c r="N36" i="1"/>
  <c r="N22" i="1"/>
  <c r="J27" i="1"/>
  <c r="F23" i="1"/>
  <c r="F24" i="1"/>
  <c r="F25" i="1"/>
  <c r="F26" i="1"/>
  <c r="F27" i="1"/>
  <c r="F28" i="1"/>
  <c r="F29" i="1"/>
  <c r="F30" i="1"/>
  <c r="F31" i="1"/>
  <c r="F32" i="1"/>
  <c r="F33" i="1"/>
  <c r="F34" i="1"/>
  <c r="F35" i="1"/>
  <c r="F36" i="1"/>
  <c r="F22" i="1"/>
  <c r="B26" i="1"/>
  <c r="R4" i="1"/>
  <c r="R5" i="1"/>
  <c r="R6" i="1"/>
  <c r="R7" i="1"/>
  <c r="R8" i="1"/>
  <c r="R9" i="1"/>
  <c r="R10" i="1"/>
  <c r="R11" i="1"/>
  <c r="R12" i="1"/>
  <c r="R13" i="1"/>
  <c r="R14" i="1"/>
  <c r="R15" i="1"/>
  <c r="R16" i="1"/>
  <c r="R17" i="1"/>
  <c r="R3" i="1"/>
  <c r="O4" i="1"/>
  <c r="O5" i="1"/>
  <c r="O6" i="1"/>
  <c r="O7" i="1"/>
  <c r="O8" i="1"/>
  <c r="O9" i="1"/>
  <c r="O10" i="1"/>
  <c r="O11" i="1"/>
  <c r="O12" i="1"/>
  <c r="O13" i="1"/>
  <c r="O14" i="1"/>
  <c r="O15" i="1"/>
  <c r="O16" i="1"/>
  <c r="O17" i="1"/>
  <c r="O3" i="1"/>
  <c r="L4" i="1"/>
  <c r="L5" i="1"/>
  <c r="L6" i="1"/>
  <c r="L7" i="1"/>
  <c r="L8" i="1"/>
  <c r="L9" i="1"/>
  <c r="L10" i="1"/>
  <c r="L11" i="1"/>
  <c r="L12" i="1"/>
  <c r="L13" i="1"/>
  <c r="L14" i="1"/>
  <c r="L15" i="1"/>
  <c r="L16" i="1"/>
  <c r="L17" i="1"/>
  <c r="L3" i="1"/>
  <c r="H4" i="1" l="1"/>
  <c r="H5" i="1"/>
  <c r="H6" i="1"/>
  <c r="H7" i="1"/>
  <c r="H8" i="1"/>
  <c r="H9" i="1"/>
  <c r="H10" i="1"/>
  <c r="H11" i="1"/>
  <c r="H12" i="1"/>
  <c r="H13" i="1"/>
  <c r="H14" i="1"/>
  <c r="H15" i="1"/>
  <c r="H16" i="1"/>
  <c r="H17" i="1"/>
  <c r="H3" i="1"/>
  <c r="E4" i="1"/>
  <c r="E5" i="1"/>
  <c r="E6" i="1"/>
  <c r="E7" i="1"/>
  <c r="E8" i="1"/>
  <c r="E9" i="1"/>
  <c r="E10" i="1"/>
  <c r="E11" i="1"/>
  <c r="E12" i="1"/>
  <c r="E13" i="1"/>
  <c r="E14" i="1"/>
  <c r="E15" i="1"/>
  <c r="E16" i="1"/>
  <c r="E17" i="1"/>
  <c r="E3" i="1"/>
  <c r="B4" i="1"/>
  <c r="B5" i="1"/>
  <c r="B6" i="1"/>
  <c r="B7" i="1"/>
  <c r="B8" i="1"/>
  <c r="B9" i="1"/>
  <c r="B10" i="1"/>
  <c r="B11" i="1"/>
  <c r="B12" i="1"/>
  <c r="B13" i="1"/>
  <c r="B14" i="1"/>
  <c r="B15" i="1"/>
  <c r="B16" i="1"/>
  <c r="B17" i="1"/>
  <c r="B3" i="1"/>
</calcChain>
</file>

<file path=xl/sharedStrings.xml><?xml version="1.0" encoding="utf-8"?>
<sst xmlns="http://schemas.openxmlformats.org/spreadsheetml/2006/main" count="215" uniqueCount="91">
  <si>
    <t>EVEN</t>
  </si>
  <si>
    <t>NUMBER</t>
  </si>
  <si>
    <t>RESULT</t>
  </si>
  <si>
    <t>ODD</t>
  </si>
  <si>
    <t>FACT</t>
  </si>
  <si>
    <t>POWER</t>
  </si>
  <si>
    <t xml:space="preserve"> </t>
  </si>
  <si>
    <t>SQRT:- Square Root</t>
  </si>
  <si>
    <t>ROMAN</t>
  </si>
  <si>
    <t>SUM</t>
  </si>
  <si>
    <t>SUMSQ</t>
  </si>
  <si>
    <t>Python</t>
  </si>
  <si>
    <t>DM</t>
  </si>
  <si>
    <t>Web Design</t>
  </si>
  <si>
    <t xml:space="preserve">Python </t>
  </si>
  <si>
    <t>AWS</t>
  </si>
  <si>
    <t>PHP</t>
  </si>
  <si>
    <t>Cousre</t>
  </si>
  <si>
    <t>FEES</t>
  </si>
  <si>
    <t>Course</t>
  </si>
  <si>
    <t>SEMIF</t>
  </si>
  <si>
    <t>MOD</t>
  </si>
  <si>
    <t>DIVISIOR</t>
  </si>
  <si>
    <t>REMINDER</t>
  </si>
  <si>
    <t>ROUND</t>
  </si>
  <si>
    <t>.DIGITS</t>
  </si>
  <si>
    <t>INT</t>
  </si>
  <si>
    <t>INTIGER</t>
  </si>
  <si>
    <t>PI</t>
  </si>
  <si>
    <t>RAND:- 0.0-1.0</t>
  </si>
  <si>
    <t>RANDBETWEEN</t>
  </si>
  <si>
    <t xml:space="preserve">  </t>
  </si>
  <si>
    <t>Today</t>
  </si>
  <si>
    <t>Result</t>
  </si>
  <si>
    <t>Now</t>
  </si>
  <si>
    <t>DAY</t>
  </si>
  <si>
    <t>MONTH</t>
  </si>
  <si>
    <t>YEAR</t>
  </si>
  <si>
    <t>DATE</t>
  </si>
  <si>
    <t>RESULY</t>
  </si>
  <si>
    <t>Full DAY NAME</t>
  </si>
  <si>
    <t>3 characters</t>
  </si>
  <si>
    <t>Yesterday</t>
  </si>
  <si>
    <t>Tomorrow</t>
  </si>
  <si>
    <t>Not</t>
  </si>
  <si>
    <t>Weekday</t>
  </si>
  <si>
    <t>Hours</t>
  </si>
  <si>
    <t>Minutes</t>
  </si>
  <si>
    <t>Seconds</t>
  </si>
  <si>
    <t>FULL DATE</t>
  </si>
  <si>
    <t>Time</t>
  </si>
  <si>
    <t>Hourse</t>
  </si>
  <si>
    <t>Name</t>
  </si>
  <si>
    <t>Aditi</t>
  </si>
  <si>
    <t>Bhawna</t>
  </si>
  <si>
    <t>Chanchal</t>
  </si>
  <si>
    <t>Deepiali</t>
  </si>
  <si>
    <t>Esha</t>
  </si>
  <si>
    <t>Fiza</t>
  </si>
  <si>
    <t>Gungun</t>
  </si>
  <si>
    <t>Himani</t>
  </si>
  <si>
    <t>LOWER</t>
  </si>
  <si>
    <t>UPPER</t>
  </si>
  <si>
    <t>PROPER</t>
  </si>
  <si>
    <t>Aditi Kumar</t>
  </si>
  <si>
    <t>LEFT</t>
  </si>
  <si>
    <t>RIGHT</t>
  </si>
  <si>
    <t>Reslut</t>
  </si>
  <si>
    <t>MID</t>
  </si>
  <si>
    <t>Len</t>
  </si>
  <si>
    <t>kumar</t>
  </si>
  <si>
    <t>Chavla</t>
  </si>
  <si>
    <t>Chauhan</t>
  </si>
  <si>
    <t>Nein</t>
  </si>
  <si>
    <t>Khan</t>
  </si>
  <si>
    <t>Das</t>
  </si>
  <si>
    <t>Pall</t>
  </si>
  <si>
    <t>Full_name</t>
  </si>
  <si>
    <t>CONCAT/CONCATENATE</t>
  </si>
  <si>
    <t>First_name</t>
  </si>
  <si>
    <t>Last_name</t>
  </si>
  <si>
    <t>Exact</t>
  </si>
  <si>
    <t>TRIM</t>
  </si>
  <si>
    <t>Aditi          kumar</t>
  </si>
  <si>
    <t>Bhawna           Chavla</t>
  </si>
  <si>
    <t>Chanchal             Chauhan</t>
  </si>
  <si>
    <t>Deepiali        kumar</t>
  </si>
  <si>
    <t>Esha       Nein</t>
  </si>
  <si>
    <t>Fiza           Khan</t>
  </si>
  <si>
    <t>Gungun          Das</t>
  </si>
  <si>
    <t>Himani          Pall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</si>
</sst>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2"/>
      <color theme="5" tint="0.79998168889431442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b/>
      <sz val="14"/>
      <color theme="0" tint="-4.9989318521683403E-2"/>
      <name val="Calibri"/>
      <family val="2"/>
      <scheme val="minor"/>
    </font>
    <font>
      <b/>
      <sz val="12"/>
      <color theme="1" tint="4.9989318521683403E-2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 tint="-4.9989318521683403E-2"/>
        <bgColor indexed="64"/>
      </patternFill>
    </fill>
    <fill>
      <patternFill patternType="solid">
        <fgColor theme="0" tint="-0.499984740745262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</borders>
  <cellStyleXfs count="1">
    <xf numFmtId="0" fontId="0" fillId="0" borderId="0"/>
  </cellStyleXfs>
  <cellXfs count="28">
    <xf numFmtId="0" fontId="0" fillId="0" borderId="0" xfId="0"/>
    <xf numFmtId="0" fontId="1" fillId="0" borderId="0" xfId="0" applyFont="1"/>
    <xf numFmtId="0" fontId="1" fillId="2" borderId="1" xfId="0" applyFont="1" applyFill="1" applyBorder="1"/>
    <xf numFmtId="0" fontId="2" fillId="2" borderId="1" xfId="0" applyFont="1" applyFill="1" applyBorder="1"/>
    <xf numFmtId="0" fontId="3" fillId="2" borderId="1" xfId="0" applyFont="1" applyFill="1" applyBorder="1"/>
    <xf numFmtId="0" fontId="2" fillId="2" borderId="1" xfId="0" applyFont="1" applyFill="1" applyBorder="1" applyAlignment="1">
      <alignment horizontal="center"/>
    </xf>
    <xf numFmtId="0" fontId="1" fillId="2" borderId="1" xfId="0" applyFont="1" applyFill="1" applyBorder="1" applyAlignment="1">
      <alignment horizontal="center"/>
    </xf>
    <xf numFmtId="0" fontId="3" fillId="2" borderId="1" xfId="0" applyFont="1" applyFill="1" applyBorder="1" applyAlignment="1">
      <alignment horizontal="center"/>
    </xf>
    <xf numFmtId="0" fontId="0" fillId="0" borderId="0" xfId="0" applyAlignment="1"/>
    <xf numFmtId="0" fontId="1" fillId="0" borderId="1" xfId="0" applyFont="1" applyBorder="1"/>
    <xf numFmtId="0" fontId="0" fillId="0" borderId="1" xfId="0" applyBorder="1" applyAlignment="1">
      <alignment horizontal="center"/>
    </xf>
    <xf numFmtId="0" fontId="1" fillId="0" borderId="1" xfId="0" applyFont="1" applyBorder="1" applyAlignment="1">
      <alignment horizontal="center"/>
    </xf>
    <xf numFmtId="14" fontId="1" fillId="0" borderId="1" xfId="0" applyNumberFormat="1" applyFont="1" applyBorder="1"/>
    <xf numFmtId="22" fontId="1" fillId="0" borderId="1" xfId="0" applyNumberFormat="1" applyFont="1" applyBorder="1" applyAlignment="1"/>
    <xf numFmtId="22" fontId="1" fillId="0" borderId="1" xfId="0" applyNumberFormat="1" applyFont="1" applyBorder="1"/>
    <xf numFmtId="14" fontId="1" fillId="0" borderId="1" xfId="0" applyNumberFormat="1" applyFont="1" applyBorder="1" applyAlignment="1"/>
    <xf numFmtId="0" fontId="1" fillId="0" borderId="0" xfId="0" applyFont="1" applyBorder="1"/>
    <xf numFmtId="0" fontId="1" fillId="0" borderId="1" xfId="0" applyFont="1" applyBorder="1" applyAlignment="1"/>
    <xf numFmtId="18" fontId="1" fillId="0" borderId="1" xfId="0" applyNumberFormat="1" applyFont="1" applyBorder="1"/>
    <xf numFmtId="0" fontId="5" fillId="0" borderId="1" xfId="0" applyFont="1" applyBorder="1" applyAlignment="1">
      <alignment horizontal="center"/>
    </xf>
    <xf numFmtId="0" fontId="6" fillId="0" borderId="1" xfId="0" applyFont="1" applyBorder="1"/>
    <xf numFmtId="0" fontId="6" fillId="0" borderId="1" xfId="0" applyFont="1" applyFill="1" applyBorder="1"/>
    <xf numFmtId="0" fontId="6" fillId="0" borderId="1" xfId="0" applyFont="1" applyBorder="1" applyAlignment="1"/>
    <xf numFmtId="0" fontId="6" fillId="0" borderId="1" xfId="0" applyFont="1" applyFill="1" applyBorder="1" applyAlignment="1"/>
    <xf numFmtId="0" fontId="7" fillId="3" borderId="2" xfId="0" applyFont="1" applyFill="1" applyBorder="1" applyAlignment="1">
      <alignment horizontal="center"/>
    </xf>
    <xf numFmtId="0" fontId="2" fillId="0" borderId="0" xfId="0" applyFont="1" applyFill="1" applyBorder="1" applyAlignment="1"/>
    <xf numFmtId="0" fontId="4" fillId="0" borderId="0" xfId="0" applyFont="1" applyFill="1" applyBorder="1" applyAlignment="1"/>
    <xf numFmtId="0" fontId="8" fillId="2" borderId="1" xfId="0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CB3FAAB-8CE9-468C-94E0-985ECE24FD3C}">
  <sheetPr>
    <tabColor theme="7" tint="0.39997558519241921"/>
  </sheetPr>
  <dimension ref="A1:R20"/>
  <sheetViews>
    <sheetView workbookViewId="0">
      <selection activeCell="A3" sqref="A3"/>
    </sheetView>
  </sheetViews>
  <sheetFormatPr defaultRowHeight="15" x14ac:dyDescent="0.25"/>
  <cols>
    <col min="1" max="1" width="14.85546875" customWidth="1"/>
    <col min="2" max="2" width="9.7109375" bestFit="1" customWidth="1"/>
    <col min="4" max="4" width="10.7109375" bestFit="1" customWidth="1"/>
    <col min="5" max="5" width="14.85546875" bestFit="1" customWidth="1"/>
    <col min="7" max="7" width="14.85546875" bestFit="1" customWidth="1"/>
    <col min="9" max="9" width="11.42578125" bestFit="1" customWidth="1"/>
    <col min="10" max="10" width="2.7109375" customWidth="1"/>
    <col min="11" max="11" width="6.140625" bestFit="1" customWidth="1"/>
    <col min="13" max="13" width="8.28515625" bestFit="1" customWidth="1"/>
  </cols>
  <sheetData>
    <row r="1" spans="1:18" x14ac:dyDescent="0.25">
      <c r="A1" s="11" t="s">
        <v>32</v>
      </c>
      <c r="B1" s="11"/>
      <c r="C1" s="8"/>
      <c r="D1" s="11" t="s">
        <v>34</v>
      </c>
      <c r="E1" s="11"/>
      <c r="G1" s="11" t="s">
        <v>45</v>
      </c>
      <c r="H1" s="11"/>
      <c r="K1" s="17" t="s">
        <v>46</v>
      </c>
      <c r="L1" s="9" t="s">
        <v>47</v>
      </c>
      <c r="M1" s="9" t="s">
        <v>48</v>
      </c>
      <c r="O1" s="9" t="s">
        <v>50</v>
      </c>
      <c r="P1" s="9" t="s">
        <v>51</v>
      </c>
      <c r="Q1" s="9" t="s">
        <v>47</v>
      </c>
      <c r="R1" s="9" t="s">
        <v>48</v>
      </c>
    </row>
    <row r="2" spans="1:18" x14ac:dyDescent="0.25">
      <c r="A2" s="11" t="s">
        <v>33</v>
      </c>
      <c r="B2" s="11"/>
      <c r="C2" s="8"/>
      <c r="D2" s="11" t="s">
        <v>33</v>
      </c>
      <c r="E2" s="11"/>
      <c r="G2" s="11" t="s">
        <v>2</v>
      </c>
      <c r="H2" s="11"/>
      <c r="K2" s="9">
        <v>1</v>
      </c>
      <c r="L2" s="9">
        <v>10</v>
      </c>
      <c r="M2" s="9">
        <v>10</v>
      </c>
      <c r="O2" s="18">
        <f>TIME(K2,L2,M2)</f>
        <v>4.8726851851851855E-2</v>
      </c>
      <c r="P2" s="9">
        <f>HOUR(O2)</f>
        <v>1</v>
      </c>
      <c r="Q2" s="9">
        <f>MINUTE(O2)</f>
        <v>10</v>
      </c>
      <c r="R2" s="9">
        <f>SECOND(O2)</f>
        <v>10</v>
      </c>
    </row>
    <row r="3" spans="1:18" x14ac:dyDescent="0.25">
      <c r="A3" s="9" t="s">
        <v>32</v>
      </c>
      <c r="B3" s="15">
        <f ca="1">TODAY()</f>
        <v>46132</v>
      </c>
      <c r="C3" s="8"/>
      <c r="D3" s="9" t="s">
        <v>44</v>
      </c>
      <c r="E3" s="13">
        <f ca="1">NOW()</f>
        <v>46132.911909374998</v>
      </c>
      <c r="G3" s="9">
        <f>WEEKDAY(D10,1)</f>
        <v>7</v>
      </c>
      <c r="H3" s="13"/>
      <c r="K3" s="9">
        <v>2</v>
      </c>
      <c r="L3" s="9">
        <v>20</v>
      </c>
      <c r="M3" s="9">
        <v>20</v>
      </c>
      <c r="O3" s="18">
        <f t="shared" ref="O3:O7" si="0">TIME(K3,L3,M3)</f>
        <v>9.7453703703703709E-2</v>
      </c>
      <c r="P3" s="9">
        <f t="shared" ref="P3:P7" si="1">HOUR(O3)</f>
        <v>2</v>
      </c>
      <c r="Q3" s="9">
        <f t="shared" ref="Q3:Q7" si="2">MINUTE(O3)</f>
        <v>20</v>
      </c>
      <c r="R3" s="9">
        <f t="shared" ref="R3:R7" si="3">SECOND(O3)</f>
        <v>20</v>
      </c>
    </row>
    <row r="4" spans="1:18" x14ac:dyDescent="0.25">
      <c r="A4" s="9" t="s">
        <v>42</v>
      </c>
      <c r="B4" s="15">
        <f ca="1">TODAY()-1</f>
        <v>46131</v>
      </c>
      <c r="C4" s="8"/>
      <c r="D4" s="9" t="s">
        <v>42</v>
      </c>
      <c r="E4" s="14">
        <f ca="1">NOW()-1</f>
        <v>46131.911909374998</v>
      </c>
      <c r="K4" s="9">
        <v>3</v>
      </c>
      <c r="L4" s="9">
        <v>30</v>
      </c>
      <c r="M4" s="9">
        <v>30</v>
      </c>
      <c r="O4" s="18">
        <f t="shared" si="0"/>
        <v>0.14618055555555556</v>
      </c>
      <c r="P4" s="9">
        <f t="shared" si="1"/>
        <v>3</v>
      </c>
      <c r="Q4" s="9">
        <f t="shared" si="2"/>
        <v>30</v>
      </c>
      <c r="R4" s="9">
        <f t="shared" si="3"/>
        <v>30</v>
      </c>
    </row>
    <row r="5" spans="1:18" x14ac:dyDescent="0.25">
      <c r="A5" s="9" t="s">
        <v>43</v>
      </c>
      <c r="B5" s="15">
        <f ca="1">TODAY()+1</f>
        <v>46133</v>
      </c>
      <c r="C5" s="8"/>
      <c r="D5" s="9" t="s">
        <v>43</v>
      </c>
      <c r="E5" s="14">
        <f ca="1">NOW()+1</f>
        <v>46133.911909374998</v>
      </c>
      <c r="K5" s="9">
        <v>4</v>
      </c>
      <c r="L5" s="9">
        <v>40</v>
      </c>
      <c r="M5" s="9">
        <v>40</v>
      </c>
      <c r="O5" s="18">
        <f t="shared" si="0"/>
        <v>0.19490740740740742</v>
      </c>
      <c r="P5" s="9">
        <f t="shared" si="1"/>
        <v>4</v>
      </c>
      <c r="Q5" s="9">
        <f t="shared" si="2"/>
        <v>40</v>
      </c>
      <c r="R5" s="9">
        <f t="shared" si="3"/>
        <v>40</v>
      </c>
    </row>
    <row r="6" spans="1:18" x14ac:dyDescent="0.25">
      <c r="K6" s="9">
        <v>5</v>
      </c>
      <c r="L6" s="9">
        <v>50</v>
      </c>
      <c r="M6" s="9">
        <v>50</v>
      </c>
      <c r="O6" s="18">
        <f t="shared" si="0"/>
        <v>0.24363425925925927</v>
      </c>
      <c r="P6" s="9">
        <f t="shared" si="1"/>
        <v>5</v>
      </c>
      <c r="Q6" s="9">
        <f t="shared" si="2"/>
        <v>50</v>
      </c>
      <c r="R6" s="9">
        <f t="shared" si="3"/>
        <v>50</v>
      </c>
    </row>
    <row r="7" spans="1:18" x14ac:dyDescent="0.25">
      <c r="K7" s="9">
        <v>6</v>
      </c>
      <c r="L7" s="9">
        <v>60</v>
      </c>
      <c r="M7" s="9">
        <v>60</v>
      </c>
      <c r="O7" s="18">
        <f t="shared" si="0"/>
        <v>0.29236111111111113</v>
      </c>
      <c r="P7" s="9">
        <f t="shared" si="1"/>
        <v>7</v>
      </c>
      <c r="Q7" s="9">
        <f t="shared" si="2"/>
        <v>1</v>
      </c>
      <c r="R7" s="9">
        <f t="shared" si="3"/>
        <v>0</v>
      </c>
    </row>
    <row r="8" spans="1:18" x14ac:dyDescent="0.25">
      <c r="A8" s="11" t="s">
        <v>49</v>
      </c>
      <c r="B8" s="11"/>
      <c r="C8" s="11"/>
      <c r="D8" s="9" t="s">
        <v>38</v>
      </c>
      <c r="E8" s="9" t="s">
        <v>35</v>
      </c>
      <c r="F8" s="9" t="s">
        <v>36</v>
      </c>
      <c r="G8" s="9" t="s">
        <v>37</v>
      </c>
      <c r="H8" s="9" t="s">
        <v>40</v>
      </c>
      <c r="I8" s="9" t="s">
        <v>41</v>
      </c>
      <c r="J8" s="16"/>
    </row>
    <row r="9" spans="1:18" x14ac:dyDescent="0.25">
      <c r="A9" s="9" t="s">
        <v>35</v>
      </c>
      <c r="B9" s="9" t="s">
        <v>36</v>
      </c>
      <c r="C9" s="9" t="s">
        <v>37</v>
      </c>
      <c r="D9" s="9" t="s">
        <v>2</v>
      </c>
      <c r="E9" s="9" t="s">
        <v>2</v>
      </c>
      <c r="F9" s="9" t="s">
        <v>6</v>
      </c>
      <c r="G9" s="9" t="s">
        <v>39</v>
      </c>
      <c r="H9" s="9" t="s">
        <v>2</v>
      </c>
      <c r="I9" s="9" t="s">
        <v>2</v>
      </c>
      <c r="J9" s="16"/>
    </row>
    <row r="10" spans="1:18" x14ac:dyDescent="0.25">
      <c r="A10" s="9">
        <v>11</v>
      </c>
      <c r="B10" s="9">
        <v>12</v>
      </c>
      <c r="C10" s="9">
        <v>1999</v>
      </c>
      <c r="D10" s="12">
        <f>DATE(C10,B10,A10)</f>
        <v>36505</v>
      </c>
      <c r="E10" s="9">
        <f>DAY(D10)</f>
        <v>11</v>
      </c>
      <c r="F10" s="9">
        <f>MONTH(D10)</f>
        <v>12</v>
      </c>
      <c r="G10" s="9">
        <f>YEAR(D10)</f>
        <v>1999</v>
      </c>
      <c r="H10" s="9" t="str">
        <f>TEXT(D10,"DDDD")</f>
        <v>Saturday</v>
      </c>
      <c r="I10" s="9" t="str">
        <f>TEXT(D10,"ddd")</f>
        <v>Sat</v>
      </c>
      <c r="J10" s="16"/>
    </row>
    <row r="11" spans="1:18" x14ac:dyDescent="0.25">
      <c r="A11" s="9">
        <v>10</v>
      </c>
      <c r="B11" s="9">
        <v>11</v>
      </c>
      <c r="C11" s="9">
        <v>2000</v>
      </c>
      <c r="D11" s="12">
        <f>DATE(C11,B11,A11)</f>
        <v>36840</v>
      </c>
      <c r="E11" s="9">
        <f t="shared" ref="E11:E20" si="4">DAY(D11)</f>
        <v>10</v>
      </c>
      <c r="F11" s="9">
        <f t="shared" ref="F11:F20" si="5">MONTH(D11)</f>
        <v>11</v>
      </c>
      <c r="G11" s="9">
        <f t="shared" ref="G11:G20" si="6">YEAR(D11)</f>
        <v>2000</v>
      </c>
      <c r="H11" s="9" t="str">
        <f t="shared" ref="H11:H20" si="7">TEXT(D11,"DDDD")</f>
        <v>Friday</v>
      </c>
      <c r="I11" s="9" t="str">
        <f t="shared" ref="I11:I20" si="8">TEXT(D11,"ddd")</f>
        <v>Fri</v>
      </c>
      <c r="J11" s="16"/>
    </row>
    <row r="12" spans="1:18" x14ac:dyDescent="0.25">
      <c r="A12" s="9">
        <v>9</v>
      </c>
      <c r="B12" s="9">
        <v>9</v>
      </c>
      <c r="C12" s="9">
        <v>2001</v>
      </c>
      <c r="D12" s="12">
        <f>DATE(C12,B12,A12)</f>
        <v>37143</v>
      </c>
      <c r="E12" s="9">
        <f t="shared" si="4"/>
        <v>9</v>
      </c>
      <c r="F12" s="9">
        <f t="shared" si="5"/>
        <v>9</v>
      </c>
      <c r="G12" s="9">
        <f t="shared" si="6"/>
        <v>2001</v>
      </c>
      <c r="H12" s="9" t="str">
        <f t="shared" si="7"/>
        <v>Sunday</v>
      </c>
      <c r="I12" s="9" t="str">
        <f t="shared" si="8"/>
        <v>Sun</v>
      </c>
      <c r="J12" s="16"/>
    </row>
    <row r="13" spans="1:18" x14ac:dyDescent="0.25">
      <c r="A13" s="9">
        <v>8</v>
      </c>
      <c r="B13" s="9">
        <v>8</v>
      </c>
      <c r="C13" s="9">
        <v>2002</v>
      </c>
      <c r="D13" s="12">
        <f>DATE(C13,B13,A13)</f>
        <v>37476</v>
      </c>
      <c r="E13" s="9">
        <f t="shared" si="4"/>
        <v>8</v>
      </c>
      <c r="F13" s="9">
        <f t="shared" si="5"/>
        <v>8</v>
      </c>
      <c r="G13" s="9">
        <f t="shared" si="6"/>
        <v>2002</v>
      </c>
      <c r="H13" s="9" t="str">
        <f t="shared" si="7"/>
        <v>Thursday</v>
      </c>
      <c r="I13" s="9" t="str">
        <f t="shared" si="8"/>
        <v>Thu</v>
      </c>
      <c r="J13" s="16"/>
    </row>
    <row r="14" spans="1:18" x14ac:dyDescent="0.25">
      <c r="A14" s="9">
        <v>7</v>
      </c>
      <c r="B14" s="9">
        <v>7</v>
      </c>
      <c r="C14" s="9">
        <v>2003</v>
      </c>
      <c r="D14" s="12">
        <f>DATE(C14,B14,A14)</f>
        <v>37809</v>
      </c>
      <c r="E14" s="9">
        <f t="shared" si="4"/>
        <v>7</v>
      </c>
      <c r="F14" s="9">
        <f t="shared" si="5"/>
        <v>7</v>
      </c>
      <c r="G14" s="9">
        <f t="shared" si="6"/>
        <v>2003</v>
      </c>
      <c r="H14" s="9" t="str">
        <f t="shared" si="7"/>
        <v>Monday</v>
      </c>
      <c r="I14" s="9" t="str">
        <f t="shared" si="8"/>
        <v>Mon</v>
      </c>
      <c r="J14" s="16"/>
    </row>
    <row r="15" spans="1:18" x14ac:dyDescent="0.25">
      <c r="A15" s="9">
        <v>6</v>
      </c>
      <c r="B15" s="9">
        <v>6</v>
      </c>
      <c r="C15" s="9">
        <v>2004</v>
      </c>
      <c r="D15" s="12">
        <f>DATE(C15,B15,A15)</f>
        <v>38144</v>
      </c>
      <c r="E15" s="9">
        <f t="shared" si="4"/>
        <v>6</v>
      </c>
      <c r="F15" s="9">
        <f t="shared" si="5"/>
        <v>6</v>
      </c>
      <c r="G15" s="9">
        <f t="shared" si="6"/>
        <v>2004</v>
      </c>
      <c r="H15" s="9" t="str">
        <f t="shared" si="7"/>
        <v>Sunday</v>
      </c>
      <c r="I15" s="9" t="str">
        <f t="shared" si="8"/>
        <v>Sun</v>
      </c>
      <c r="J15" s="16"/>
    </row>
    <row r="16" spans="1:18" x14ac:dyDescent="0.25">
      <c r="A16" s="9">
        <v>5</v>
      </c>
      <c r="B16" s="9">
        <v>5</v>
      </c>
      <c r="C16" s="9">
        <v>2005</v>
      </c>
      <c r="D16" s="12">
        <f>DATE(C16,B16,A16)</f>
        <v>38477</v>
      </c>
      <c r="E16" s="9">
        <f t="shared" si="4"/>
        <v>5</v>
      </c>
      <c r="F16" s="9">
        <f t="shared" si="5"/>
        <v>5</v>
      </c>
      <c r="G16" s="9">
        <f t="shared" si="6"/>
        <v>2005</v>
      </c>
      <c r="H16" s="9" t="str">
        <f t="shared" si="7"/>
        <v>Thursday</v>
      </c>
      <c r="I16" s="9" t="str">
        <f t="shared" si="8"/>
        <v>Thu</v>
      </c>
      <c r="J16" s="16"/>
    </row>
    <row r="17" spans="1:10" x14ac:dyDescent="0.25">
      <c r="A17" s="9">
        <v>4</v>
      </c>
      <c r="B17" s="9">
        <v>4</v>
      </c>
      <c r="C17" s="9">
        <v>2006</v>
      </c>
      <c r="D17" s="12">
        <f>DATE(C17,B17,A17)</f>
        <v>38811</v>
      </c>
      <c r="E17" s="9">
        <f t="shared" si="4"/>
        <v>4</v>
      </c>
      <c r="F17" s="9">
        <f t="shared" si="5"/>
        <v>4</v>
      </c>
      <c r="G17" s="9">
        <f t="shared" si="6"/>
        <v>2006</v>
      </c>
      <c r="H17" s="9" t="str">
        <f t="shared" si="7"/>
        <v>Tuesday</v>
      </c>
      <c r="I17" s="9" t="str">
        <f t="shared" si="8"/>
        <v>Tue</v>
      </c>
      <c r="J17" s="16"/>
    </row>
    <row r="18" spans="1:10" x14ac:dyDescent="0.25">
      <c r="A18" s="9">
        <v>3</v>
      </c>
      <c r="B18" s="9">
        <v>3</v>
      </c>
      <c r="C18" s="9">
        <v>2007</v>
      </c>
      <c r="D18" s="12">
        <f>DATE(C18,B18,A18)</f>
        <v>39144</v>
      </c>
      <c r="E18" s="9">
        <f t="shared" si="4"/>
        <v>3</v>
      </c>
      <c r="F18" s="9">
        <f t="shared" si="5"/>
        <v>3</v>
      </c>
      <c r="G18" s="9">
        <f t="shared" si="6"/>
        <v>2007</v>
      </c>
      <c r="H18" s="9" t="str">
        <f t="shared" si="7"/>
        <v>Saturday</v>
      </c>
      <c r="I18" s="9" t="str">
        <f t="shared" si="8"/>
        <v>Sat</v>
      </c>
      <c r="J18" s="16"/>
    </row>
    <row r="19" spans="1:10" x14ac:dyDescent="0.25">
      <c r="A19" s="9">
        <v>2</v>
      </c>
      <c r="B19" s="9">
        <v>2</v>
      </c>
      <c r="C19" s="9">
        <v>2008</v>
      </c>
      <c r="D19" s="12">
        <f>DATE(C19,B19,A19)</f>
        <v>39480</v>
      </c>
      <c r="E19" s="9">
        <f t="shared" si="4"/>
        <v>2</v>
      </c>
      <c r="F19" s="9">
        <f t="shared" si="5"/>
        <v>2</v>
      </c>
      <c r="G19" s="9">
        <f t="shared" si="6"/>
        <v>2008</v>
      </c>
      <c r="H19" s="9" t="str">
        <f t="shared" si="7"/>
        <v>Saturday</v>
      </c>
      <c r="I19" s="9" t="str">
        <f t="shared" si="8"/>
        <v>Sat</v>
      </c>
      <c r="J19" s="16"/>
    </row>
    <row r="20" spans="1:10" x14ac:dyDescent="0.25">
      <c r="A20" s="9">
        <v>1</v>
      </c>
      <c r="B20" s="9">
        <v>1</v>
      </c>
      <c r="C20" s="9">
        <v>2009</v>
      </c>
      <c r="D20" s="12">
        <f>DATE(C20,B20,A20)</f>
        <v>39814</v>
      </c>
      <c r="E20" s="9">
        <f t="shared" si="4"/>
        <v>1</v>
      </c>
      <c r="F20" s="9">
        <f t="shared" si="5"/>
        <v>1</v>
      </c>
      <c r="G20" s="9">
        <f t="shared" si="6"/>
        <v>2009</v>
      </c>
      <c r="H20" s="9" t="str">
        <f t="shared" si="7"/>
        <v>Thursday</v>
      </c>
      <c r="I20" s="9" t="str">
        <f t="shared" si="8"/>
        <v>Thu</v>
      </c>
      <c r="J20" s="16"/>
    </row>
  </sheetData>
  <mergeCells count="7">
    <mergeCell ref="D1:E1"/>
    <mergeCell ref="D2:E2"/>
    <mergeCell ref="G1:H1"/>
    <mergeCell ref="G2:H2"/>
    <mergeCell ref="A8:C8"/>
    <mergeCell ref="A1:B1"/>
    <mergeCell ref="A2:B2"/>
  </mergeCells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AC3C468-A8E3-4597-9EF0-A2EA56E1A083}">
  <sheetPr>
    <tabColor theme="7" tint="0.39997558519241921"/>
  </sheetPr>
  <dimension ref="A1:R23"/>
  <sheetViews>
    <sheetView workbookViewId="0">
      <selection activeCell="B16" sqref="B16"/>
    </sheetView>
  </sheetViews>
  <sheetFormatPr defaultRowHeight="15" x14ac:dyDescent="0.25"/>
  <cols>
    <col min="1" max="1" width="18.28515625" bestFit="1" customWidth="1"/>
    <col min="2" max="2" width="13.85546875" bestFit="1" customWidth="1"/>
    <col min="5" max="5" width="13.7109375" bestFit="1" customWidth="1"/>
    <col min="6" max="6" width="21.28515625" bestFit="1" customWidth="1"/>
    <col min="8" max="8" width="13.7109375" bestFit="1" customWidth="1"/>
    <col min="10" max="10" width="11.28515625" bestFit="1" customWidth="1"/>
    <col min="11" max="11" width="18.85546875" customWidth="1"/>
    <col min="12" max="12" width="17.42578125" bestFit="1" customWidth="1"/>
  </cols>
  <sheetData>
    <row r="1" spans="1:18" ht="19.5" thickBot="1" x14ac:dyDescent="0.35">
      <c r="A1" s="24" t="str">
        <f>REPT("EXCEL_FORMULAS! ","10")</f>
        <v xml:space="preserve">EXCEL_FORMULAS! EXCEL_FORMULAS! EXCEL_FORMULAS! EXCEL_FORMULAS! EXCEL_FORMULAS! EXCEL_FORMULAS! EXCEL_FORMULAS! EXCEL_FORMULAS! EXCEL_FORMULAS! EXCEL_FORMULAS! </v>
      </c>
      <c r="B1" s="24"/>
      <c r="C1" s="24"/>
      <c r="D1" s="24"/>
      <c r="E1" s="24"/>
      <c r="F1" s="24"/>
      <c r="G1" s="24"/>
      <c r="H1" s="24"/>
      <c r="I1" s="24"/>
      <c r="J1" s="24"/>
      <c r="K1" s="24"/>
      <c r="L1" s="24"/>
      <c r="M1" s="24"/>
    </row>
    <row r="2" spans="1:18" ht="15.75" thickTop="1" x14ac:dyDescent="0.25"/>
    <row r="3" spans="1:18" ht="18.75" x14ac:dyDescent="0.3">
      <c r="A3" s="19" t="s">
        <v>61</v>
      </c>
      <c r="B3" s="19"/>
      <c r="D3" s="19" t="s">
        <v>62</v>
      </c>
      <c r="E3" s="19"/>
      <c r="G3" s="19" t="s">
        <v>63</v>
      </c>
      <c r="H3" s="19"/>
      <c r="J3" s="19" t="s">
        <v>65</v>
      </c>
      <c r="K3" s="19"/>
      <c r="N3" s="19" t="s">
        <v>66</v>
      </c>
      <c r="O3" s="19"/>
      <c r="Q3" s="19" t="s">
        <v>68</v>
      </c>
      <c r="R3" s="19"/>
    </row>
    <row r="4" spans="1:18" ht="18.75" x14ac:dyDescent="0.3">
      <c r="A4" s="20" t="s">
        <v>52</v>
      </c>
      <c r="B4" s="20" t="s">
        <v>33</v>
      </c>
      <c r="D4" s="20" t="s">
        <v>52</v>
      </c>
      <c r="E4" s="20" t="s">
        <v>33</v>
      </c>
      <c r="G4" s="20" t="s">
        <v>52</v>
      </c>
      <c r="H4" s="20" t="s">
        <v>33</v>
      </c>
      <c r="J4" s="20" t="s">
        <v>52</v>
      </c>
      <c r="K4" s="20" t="s">
        <v>33</v>
      </c>
      <c r="L4" s="21" t="s">
        <v>67</v>
      </c>
      <c r="N4" s="20" t="s">
        <v>52</v>
      </c>
      <c r="O4" s="20" t="s">
        <v>33</v>
      </c>
      <c r="Q4" s="20" t="s">
        <v>52</v>
      </c>
      <c r="R4" s="20" t="s">
        <v>33</v>
      </c>
    </row>
    <row r="5" spans="1:18" ht="18.75" x14ac:dyDescent="0.3">
      <c r="A5" s="20" t="s">
        <v>64</v>
      </c>
      <c r="B5" s="20" t="str">
        <f>LOWER(A5)</f>
        <v>aditi kumar</v>
      </c>
      <c r="D5" s="20" t="s">
        <v>53</v>
      </c>
      <c r="E5" s="20" t="str">
        <f>UPPER(D5)</f>
        <v>ADITI</v>
      </c>
      <c r="G5" s="20" t="s">
        <v>53</v>
      </c>
      <c r="H5" s="20" t="str">
        <f>PROPER(G5)</f>
        <v>Aditi</v>
      </c>
      <c r="J5" s="20" t="s">
        <v>53</v>
      </c>
      <c r="K5" s="20" t="str">
        <f>LEFT(J5,2)</f>
        <v>Ad</v>
      </c>
      <c r="L5" s="20" t="str">
        <f>PROPER(LEFT(J5,2))</f>
        <v>Ad</v>
      </c>
      <c r="N5" s="20" t="s">
        <v>53</v>
      </c>
      <c r="O5" s="20" t="str">
        <f>RIGHT(N5,3)</f>
        <v>iti</v>
      </c>
      <c r="Q5" s="20" t="s">
        <v>53</v>
      </c>
      <c r="R5" s="20" t="str">
        <f>MID(Q5,2,2)</f>
        <v>di</v>
      </c>
    </row>
    <row r="6" spans="1:18" ht="18.75" x14ac:dyDescent="0.3">
      <c r="A6" s="20" t="s">
        <v>54</v>
      </c>
      <c r="B6" s="20" t="str">
        <f t="shared" ref="B6:B12" si="0">LOWER(A6)</f>
        <v>bhawna</v>
      </c>
      <c r="D6" s="20" t="s">
        <v>54</v>
      </c>
      <c r="E6" s="20" t="str">
        <f t="shared" ref="E6:E12" si="1">UPPER(D6)</f>
        <v>BHAWNA</v>
      </c>
      <c r="G6" s="20" t="s">
        <v>54</v>
      </c>
      <c r="H6" s="20" t="str">
        <f t="shared" ref="H6:H12" si="2">PROPER(G6)</f>
        <v>Bhawna</v>
      </c>
      <c r="J6" s="20" t="s">
        <v>54</v>
      </c>
      <c r="K6" s="20" t="str">
        <f t="shared" ref="K6:K12" si="3">LEFT(J6,2)</f>
        <v>Bh</v>
      </c>
      <c r="L6" s="20" t="str">
        <f>PROPER(LEFT(J6,2))</f>
        <v>Bh</v>
      </c>
      <c r="N6" s="20" t="s">
        <v>54</v>
      </c>
      <c r="O6" s="20" t="str">
        <f t="shared" ref="O6:O12" si="4">RIGHT(N6,3)</f>
        <v>wna</v>
      </c>
      <c r="Q6" s="20" t="s">
        <v>54</v>
      </c>
      <c r="R6" s="20" t="str">
        <f t="shared" ref="R6:R12" si="5">RIGHT(Q6,3)</f>
        <v>wna</v>
      </c>
    </row>
    <row r="7" spans="1:18" ht="18.75" x14ac:dyDescent="0.3">
      <c r="A7" s="20" t="s">
        <v>55</v>
      </c>
      <c r="B7" s="20" t="str">
        <f t="shared" si="0"/>
        <v>chanchal</v>
      </c>
      <c r="D7" s="20" t="s">
        <v>55</v>
      </c>
      <c r="E7" s="20" t="str">
        <f t="shared" si="1"/>
        <v>CHANCHAL</v>
      </c>
      <c r="G7" s="20" t="s">
        <v>55</v>
      </c>
      <c r="H7" s="20" t="str">
        <f t="shared" si="2"/>
        <v>Chanchal</v>
      </c>
      <c r="J7" s="20" t="s">
        <v>55</v>
      </c>
      <c r="K7" s="20" t="str">
        <f t="shared" si="3"/>
        <v>Ch</v>
      </c>
      <c r="L7" s="20" t="str">
        <f>PROPER(LEFT(J7,2))</f>
        <v>Ch</v>
      </c>
      <c r="N7" s="20" t="s">
        <v>55</v>
      </c>
      <c r="O7" s="20" t="str">
        <f t="shared" si="4"/>
        <v>hal</v>
      </c>
      <c r="Q7" s="20" t="s">
        <v>55</v>
      </c>
      <c r="R7" s="20" t="str">
        <f t="shared" si="5"/>
        <v>hal</v>
      </c>
    </row>
    <row r="8" spans="1:18" ht="18.75" x14ac:dyDescent="0.3">
      <c r="A8" s="20" t="s">
        <v>56</v>
      </c>
      <c r="B8" s="20" t="str">
        <f t="shared" si="0"/>
        <v>deepiali</v>
      </c>
      <c r="D8" s="20" t="s">
        <v>56</v>
      </c>
      <c r="E8" s="20" t="str">
        <f t="shared" si="1"/>
        <v>DEEPIALI</v>
      </c>
      <c r="G8" s="20" t="s">
        <v>56</v>
      </c>
      <c r="H8" s="20" t="str">
        <f t="shared" si="2"/>
        <v>Deepiali</v>
      </c>
      <c r="J8" s="20" t="s">
        <v>56</v>
      </c>
      <c r="K8" s="20" t="str">
        <f t="shared" si="3"/>
        <v>De</v>
      </c>
      <c r="L8" s="20" t="str">
        <f>PROPER(LEFT(J8,2))</f>
        <v>De</v>
      </c>
      <c r="N8" s="20" t="s">
        <v>56</v>
      </c>
      <c r="O8" s="20" t="str">
        <f t="shared" si="4"/>
        <v>ali</v>
      </c>
      <c r="Q8" s="20" t="s">
        <v>56</v>
      </c>
      <c r="R8" s="20" t="str">
        <f t="shared" si="5"/>
        <v>ali</v>
      </c>
    </row>
    <row r="9" spans="1:18" ht="18.75" x14ac:dyDescent="0.3">
      <c r="A9" s="20" t="s">
        <v>57</v>
      </c>
      <c r="B9" s="20" t="str">
        <f t="shared" si="0"/>
        <v>esha</v>
      </c>
      <c r="D9" s="20" t="s">
        <v>57</v>
      </c>
      <c r="E9" s="20" t="str">
        <f t="shared" si="1"/>
        <v>ESHA</v>
      </c>
      <c r="G9" s="20" t="s">
        <v>57</v>
      </c>
      <c r="H9" s="20" t="str">
        <f t="shared" si="2"/>
        <v>Esha</v>
      </c>
      <c r="J9" s="20" t="s">
        <v>57</v>
      </c>
      <c r="K9" s="20" t="str">
        <f t="shared" si="3"/>
        <v>Es</v>
      </c>
      <c r="L9" s="20" t="str">
        <f>PROPER(LEFT(J9,2))</f>
        <v>Es</v>
      </c>
      <c r="N9" s="20" t="s">
        <v>57</v>
      </c>
      <c r="O9" s="20" t="str">
        <f t="shared" si="4"/>
        <v>sha</v>
      </c>
      <c r="Q9" s="20" t="s">
        <v>57</v>
      </c>
      <c r="R9" s="20" t="str">
        <f t="shared" si="5"/>
        <v>sha</v>
      </c>
    </row>
    <row r="10" spans="1:18" ht="18.75" x14ac:dyDescent="0.3">
      <c r="A10" s="20" t="s">
        <v>58</v>
      </c>
      <c r="B10" s="20" t="str">
        <f t="shared" si="0"/>
        <v>fiza</v>
      </c>
      <c r="D10" s="20" t="s">
        <v>58</v>
      </c>
      <c r="E10" s="20" t="str">
        <f t="shared" si="1"/>
        <v>FIZA</v>
      </c>
      <c r="G10" s="20" t="s">
        <v>58</v>
      </c>
      <c r="H10" s="20" t="str">
        <f t="shared" si="2"/>
        <v>Fiza</v>
      </c>
      <c r="J10" s="20" t="s">
        <v>58</v>
      </c>
      <c r="K10" s="20" t="str">
        <f t="shared" si="3"/>
        <v>Fi</v>
      </c>
      <c r="L10" s="20" t="str">
        <f>PROPER(LEFT(J10,2))</f>
        <v>Fi</v>
      </c>
      <c r="N10" s="20" t="s">
        <v>58</v>
      </c>
      <c r="O10" s="20" t="str">
        <f t="shared" si="4"/>
        <v>iza</v>
      </c>
      <c r="Q10" s="20" t="s">
        <v>58</v>
      </c>
      <c r="R10" s="20" t="str">
        <f t="shared" si="5"/>
        <v>iza</v>
      </c>
    </row>
    <row r="11" spans="1:18" ht="18.75" x14ac:dyDescent="0.3">
      <c r="A11" s="20" t="s">
        <v>59</v>
      </c>
      <c r="B11" s="20" t="str">
        <f t="shared" si="0"/>
        <v>gungun</v>
      </c>
      <c r="D11" s="20" t="s">
        <v>59</v>
      </c>
      <c r="E11" s="20" t="str">
        <f t="shared" si="1"/>
        <v>GUNGUN</v>
      </c>
      <c r="G11" s="20" t="s">
        <v>59</v>
      </c>
      <c r="H11" s="20" t="str">
        <f t="shared" si="2"/>
        <v>Gungun</v>
      </c>
      <c r="J11" s="20" t="s">
        <v>59</v>
      </c>
      <c r="K11" s="20" t="str">
        <f t="shared" si="3"/>
        <v>Gu</v>
      </c>
      <c r="L11" s="20" t="str">
        <f>PROPER(LEFT(J11,2))</f>
        <v>Gu</v>
      </c>
      <c r="N11" s="20" t="s">
        <v>59</v>
      </c>
      <c r="O11" s="20" t="str">
        <f t="shared" si="4"/>
        <v>gun</v>
      </c>
      <c r="Q11" s="20" t="s">
        <v>59</v>
      </c>
      <c r="R11" s="20" t="str">
        <f t="shared" si="5"/>
        <v>gun</v>
      </c>
    </row>
    <row r="12" spans="1:18" ht="18.75" x14ac:dyDescent="0.3">
      <c r="A12" s="20" t="s">
        <v>60</v>
      </c>
      <c r="B12" s="20" t="str">
        <f t="shared" si="0"/>
        <v>himani</v>
      </c>
      <c r="D12" s="20" t="s">
        <v>60</v>
      </c>
      <c r="E12" s="20" t="str">
        <f t="shared" si="1"/>
        <v>HIMANI</v>
      </c>
      <c r="G12" s="20" t="s">
        <v>60</v>
      </c>
      <c r="H12" s="20" t="str">
        <f t="shared" si="2"/>
        <v>Himani</v>
      </c>
      <c r="J12" s="20" t="s">
        <v>60</v>
      </c>
      <c r="K12" s="20" t="str">
        <f t="shared" si="3"/>
        <v>Hi</v>
      </c>
      <c r="L12" s="20" t="str">
        <f>PROPER(LEFT(J12,2))</f>
        <v>Hi</v>
      </c>
      <c r="N12" s="20" t="s">
        <v>60</v>
      </c>
      <c r="O12" s="20" t="str">
        <f t="shared" si="4"/>
        <v>ani</v>
      </c>
      <c r="Q12" s="20" t="s">
        <v>60</v>
      </c>
      <c r="R12" s="20" t="str">
        <f t="shared" si="5"/>
        <v>ani</v>
      </c>
    </row>
    <row r="14" spans="1:18" ht="18.75" x14ac:dyDescent="0.3">
      <c r="A14" s="19" t="s">
        <v>69</v>
      </c>
      <c r="B14" s="19"/>
      <c r="D14" s="19" t="s">
        <v>78</v>
      </c>
      <c r="E14" s="10"/>
      <c r="F14" s="10"/>
      <c r="H14" s="19" t="s">
        <v>81</v>
      </c>
      <c r="I14" s="19"/>
      <c r="K14" s="19" t="s">
        <v>82</v>
      </c>
      <c r="L14" s="19"/>
    </row>
    <row r="15" spans="1:18" ht="18.75" x14ac:dyDescent="0.3">
      <c r="A15" s="20" t="s">
        <v>52</v>
      </c>
      <c r="B15" s="20" t="s">
        <v>33</v>
      </c>
      <c r="D15" s="21" t="s">
        <v>79</v>
      </c>
      <c r="E15" s="21" t="s">
        <v>80</v>
      </c>
      <c r="F15" s="20" t="s">
        <v>77</v>
      </c>
      <c r="H15" s="20" t="s">
        <v>52</v>
      </c>
      <c r="I15" s="20" t="s">
        <v>33</v>
      </c>
      <c r="K15" s="22" t="s">
        <v>77</v>
      </c>
      <c r="L15" s="23" t="s">
        <v>33</v>
      </c>
    </row>
    <row r="16" spans="1:18" ht="18.75" x14ac:dyDescent="0.3">
      <c r="A16" s="20" t="s">
        <v>53</v>
      </c>
      <c r="B16" s="20">
        <f>LEN(A16)</f>
        <v>5</v>
      </c>
      <c r="D16" s="20" t="s">
        <v>53</v>
      </c>
      <c r="E16" s="20" t="s">
        <v>70</v>
      </c>
      <c r="F16" s="20" t="str">
        <f>_xlfn.CONCAT(D16,"",E16)</f>
        <v>Aditikumar</v>
      </c>
      <c r="H16" s="20" t="s">
        <v>53</v>
      </c>
      <c r="I16" s="20" t="b">
        <f>EXACT(H16,"Bhawna")</f>
        <v>0</v>
      </c>
      <c r="K16" s="20" t="s">
        <v>83</v>
      </c>
      <c r="L16" s="20" t="str">
        <f>TRIM(K16)</f>
        <v>Aditi kumar</v>
      </c>
    </row>
    <row r="17" spans="1:12" ht="18.75" x14ac:dyDescent="0.3">
      <c r="A17" s="20" t="s">
        <v>54</v>
      </c>
      <c r="B17" s="20">
        <f t="shared" ref="B17:B23" si="6">LEN(A17)</f>
        <v>6</v>
      </c>
      <c r="D17" s="20" t="s">
        <v>54</v>
      </c>
      <c r="E17" s="20" t="s">
        <v>71</v>
      </c>
      <c r="F17" s="20" t="str">
        <f t="shared" ref="F17:F23" si="7">_xlfn.CONCAT(D17,"",E17)</f>
        <v>BhawnaChavla</v>
      </c>
      <c r="H17" s="20" t="s">
        <v>54</v>
      </c>
      <c r="I17" s="20" t="b">
        <f t="shared" ref="I17:I23" si="8">EXACT(H17,"Bhawna")</f>
        <v>1</v>
      </c>
      <c r="K17" s="20" t="s">
        <v>84</v>
      </c>
      <c r="L17" s="20" t="str">
        <f t="shared" ref="L17:L23" si="9">TRIM(K17)</f>
        <v>Bhawna Chavla</v>
      </c>
    </row>
    <row r="18" spans="1:12" ht="18.75" x14ac:dyDescent="0.3">
      <c r="A18" s="20" t="s">
        <v>55</v>
      </c>
      <c r="B18" s="20">
        <f t="shared" si="6"/>
        <v>8</v>
      </c>
      <c r="D18" s="20" t="s">
        <v>55</v>
      </c>
      <c r="E18" s="20" t="s">
        <v>72</v>
      </c>
      <c r="F18" s="20" t="str">
        <f t="shared" si="7"/>
        <v>ChanchalChauhan</v>
      </c>
      <c r="H18" s="20" t="s">
        <v>55</v>
      </c>
      <c r="I18" s="20" t="b">
        <f t="shared" si="8"/>
        <v>0</v>
      </c>
      <c r="K18" s="20" t="s">
        <v>85</v>
      </c>
      <c r="L18" s="20" t="str">
        <f t="shared" si="9"/>
        <v>Chanchal Chauhan</v>
      </c>
    </row>
    <row r="19" spans="1:12" ht="18.75" x14ac:dyDescent="0.3">
      <c r="A19" s="20" t="s">
        <v>56</v>
      </c>
      <c r="B19" s="20">
        <f t="shared" si="6"/>
        <v>8</v>
      </c>
      <c r="D19" s="20" t="s">
        <v>56</v>
      </c>
      <c r="E19" s="20" t="s">
        <v>70</v>
      </c>
      <c r="F19" s="20" t="str">
        <f t="shared" si="7"/>
        <v>Deepialikumar</v>
      </c>
      <c r="H19" s="20" t="s">
        <v>56</v>
      </c>
      <c r="I19" s="20" t="b">
        <f t="shared" si="8"/>
        <v>0</v>
      </c>
      <c r="K19" s="20" t="s">
        <v>86</v>
      </c>
      <c r="L19" s="20" t="str">
        <f t="shared" si="9"/>
        <v>Deepiali kumar</v>
      </c>
    </row>
    <row r="20" spans="1:12" ht="18.75" x14ac:dyDescent="0.3">
      <c r="A20" s="20" t="s">
        <v>57</v>
      </c>
      <c r="B20" s="20">
        <f t="shared" si="6"/>
        <v>4</v>
      </c>
      <c r="D20" s="20" t="s">
        <v>57</v>
      </c>
      <c r="E20" s="20" t="s">
        <v>73</v>
      </c>
      <c r="F20" s="20" t="str">
        <f t="shared" si="7"/>
        <v>EshaNein</v>
      </c>
      <c r="H20" s="20" t="s">
        <v>57</v>
      </c>
      <c r="I20" s="20" t="b">
        <f t="shared" si="8"/>
        <v>0</v>
      </c>
      <c r="K20" s="20" t="s">
        <v>87</v>
      </c>
      <c r="L20" s="20" t="str">
        <f t="shared" si="9"/>
        <v>Esha Nein</v>
      </c>
    </row>
    <row r="21" spans="1:12" ht="18.75" x14ac:dyDescent="0.3">
      <c r="A21" s="20" t="s">
        <v>58</v>
      </c>
      <c r="B21" s="20">
        <f t="shared" si="6"/>
        <v>4</v>
      </c>
      <c r="D21" s="20" t="s">
        <v>58</v>
      </c>
      <c r="E21" s="20" t="s">
        <v>74</v>
      </c>
      <c r="F21" s="20" t="str">
        <f t="shared" si="7"/>
        <v>FizaKhan</v>
      </c>
      <c r="H21" s="20" t="s">
        <v>58</v>
      </c>
      <c r="I21" s="20" t="b">
        <f t="shared" si="8"/>
        <v>0</v>
      </c>
      <c r="K21" s="20" t="s">
        <v>88</v>
      </c>
      <c r="L21" s="20" t="str">
        <f t="shared" si="9"/>
        <v>Fiza Khan</v>
      </c>
    </row>
    <row r="22" spans="1:12" ht="18.75" x14ac:dyDescent="0.3">
      <c r="A22" s="20" t="s">
        <v>59</v>
      </c>
      <c r="B22" s="20">
        <f t="shared" si="6"/>
        <v>6</v>
      </c>
      <c r="D22" s="20" t="s">
        <v>59</v>
      </c>
      <c r="E22" s="20" t="s">
        <v>75</v>
      </c>
      <c r="F22" s="20" t="str">
        <f t="shared" si="7"/>
        <v>GungunDas</v>
      </c>
      <c r="H22" s="20" t="s">
        <v>59</v>
      </c>
      <c r="I22" s="20" t="b">
        <f t="shared" si="8"/>
        <v>0</v>
      </c>
      <c r="K22" s="20" t="s">
        <v>89</v>
      </c>
      <c r="L22" s="20" t="str">
        <f t="shared" si="9"/>
        <v>Gungun Das</v>
      </c>
    </row>
    <row r="23" spans="1:12" ht="18.75" x14ac:dyDescent="0.3">
      <c r="A23" s="20" t="s">
        <v>60</v>
      </c>
      <c r="B23" s="20">
        <f t="shared" si="6"/>
        <v>6</v>
      </c>
      <c r="D23" s="20" t="s">
        <v>60</v>
      </c>
      <c r="E23" s="20" t="s">
        <v>76</v>
      </c>
      <c r="F23" s="20" t="str">
        <f t="shared" si="7"/>
        <v>HimaniPall</v>
      </c>
      <c r="H23" s="20" t="s">
        <v>60</v>
      </c>
      <c r="I23" s="20" t="b">
        <f t="shared" si="8"/>
        <v>0</v>
      </c>
      <c r="K23" s="20" t="s">
        <v>90</v>
      </c>
      <c r="L23" s="20" t="str">
        <f t="shared" si="9"/>
        <v>Himani Pall</v>
      </c>
    </row>
  </sheetData>
  <mergeCells count="11">
    <mergeCell ref="A1:M1"/>
    <mergeCell ref="A14:B14"/>
    <mergeCell ref="D14:F14"/>
    <mergeCell ref="H14:I14"/>
    <mergeCell ref="K14:L14"/>
    <mergeCell ref="A3:B3"/>
    <mergeCell ref="D3:E3"/>
    <mergeCell ref="G3:H3"/>
    <mergeCell ref="J3:K3"/>
    <mergeCell ref="N3:O3"/>
    <mergeCell ref="Q3:R3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CDBA89-7C5C-48F8-80FE-D698F0D76128}">
  <sheetPr>
    <tabColor theme="7" tint="0.39997558519241921"/>
  </sheetPr>
  <dimension ref="A1:T46"/>
  <sheetViews>
    <sheetView workbookViewId="0">
      <selection activeCell="H25" sqref="H25"/>
    </sheetView>
  </sheetViews>
  <sheetFormatPr defaultRowHeight="15" x14ac:dyDescent="0.25"/>
  <cols>
    <col min="1" max="7" width="9.140625" style="1"/>
    <col min="8" max="8" width="12" style="1" bestFit="1" customWidth="1"/>
    <col min="9" max="13" width="9.140625" style="1"/>
    <col min="14" max="14" width="11.42578125" style="1" bestFit="1" customWidth="1"/>
    <col min="15" max="16384" width="9.140625" style="1"/>
  </cols>
  <sheetData>
    <row r="1" spans="1:18" ht="15.75" x14ac:dyDescent="0.25">
      <c r="A1" s="5" t="s">
        <v>0</v>
      </c>
      <c r="B1" s="5"/>
      <c r="D1" s="5" t="s">
        <v>3</v>
      </c>
      <c r="E1" s="5"/>
      <c r="G1" s="5" t="s">
        <v>4</v>
      </c>
      <c r="H1" s="5"/>
      <c r="J1" s="5" t="s">
        <v>5</v>
      </c>
      <c r="K1" s="5"/>
      <c r="L1" s="5"/>
      <c r="N1" s="5" t="s">
        <v>7</v>
      </c>
      <c r="O1" s="5"/>
      <c r="Q1" s="7" t="s">
        <v>8</v>
      </c>
      <c r="R1" s="7"/>
    </row>
    <row r="2" spans="1:18" ht="15.75" x14ac:dyDescent="0.25">
      <c r="A2" s="3" t="s">
        <v>1</v>
      </c>
      <c r="B2" s="3" t="s">
        <v>2</v>
      </c>
      <c r="D2" s="3" t="s">
        <v>1</v>
      </c>
      <c r="E2" s="3" t="s">
        <v>2</v>
      </c>
      <c r="G2" s="3" t="s">
        <v>1</v>
      </c>
      <c r="H2" s="3" t="s">
        <v>2</v>
      </c>
      <c r="J2" s="3" t="s">
        <v>1</v>
      </c>
      <c r="K2" s="3" t="s">
        <v>5</v>
      </c>
      <c r="L2" s="3" t="s">
        <v>2</v>
      </c>
      <c r="N2" s="3" t="s">
        <v>1</v>
      </c>
      <c r="O2" s="3" t="s">
        <v>2</v>
      </c>
      <c r="Q2" s="4" t="s">
        <v>1</v>
      </c>
      <c r="R2" s="4" t="s">
        <v>2</v>
      </c>
    </row>
    <row r="3" spans="1:18" ht="15.75" x14ac:dyDescent="0.25">
      <c r="A3" s="3">
        <v>58</v>
      </c>
      <c r="B3" s="3">
        <f>EVEN(A3)</f>
        <v>58</v>
      </c>
      <c r="D3" s="3">
        <v>58</v>
      </c>
      <c r="E3" s="3">
        <f>ODD(D3)</f>
        <v>59</v>
      </c>
      <c r="G3" s="3">
        <v>4</v>
      </c>
      <c r="H3" s="3">
        <f>FACT(G3:G17)</f>
        <v>24</v>
      </c>
      <c r="J3" s="3">
        <v>4</v>
      </c>
      <c r="K3" s="3">
        <v>2</v>
      </c>
      <c r="L3" s="3">
        <f>POWER(J3,K3)</f>
        <v>16</v>
      </c>
      <c r="N3" s="3">
        <v>4</v>
      </c>
      <c r="O3" s="3">
        <f>SQRT(N3:N17)</f>
        <v>2</v>
      </c>
      <c r="Q3" s="4">
        <v>58</v>
      </c>
      <c r="R3" s="4" t="str">
        <f>ROMAN(Q3)</f>
        <v>LVIII</v>
      </c>
    </row>
    <row r="4" spans="1:18" ht="15.75" x14ac:dyDescent="0.25">
      <c r="A4" s="3">
        <v>86</v>
      </c>
      <c r="B4" s="3">
        <f t="shared" ref="B4:B17" si="0">EVEN(A4)</f>
        <v>86</v>
      </c>
      <c r="D4" s="3">
        <v>86</v>
      </c>
      <c r="E4" s="3">
        <f t="shared" ref="E4:E17" si="1">ODD(D4)</f>
        <v>87</v>
      </c>
      <c r="G4" s="3">
        <v>3</v>
      </c>
      <c r="H4" s="3">
        <f t="shared" ref="H4:H8" si="2">FACT(G4:G18)</f>
        <v>6</v>
      </c>
      <c r="J4" s="3">
        <v>3</v>
      </c>
      <c r="K4" s="3">
        <v>3</v>
      </c>
      <c r="L4" s="3">
        <f t="shared" ref="L4:L17" si="3">POWER(J4,K4)</f>
        <v>27</v>
      </c>
      <c r="N4" s="3">
        <v>3</v>
      </c>
      <c r="O4" s="3">
        <f t="shared" ref="O4:O8" si="4">SQRT(N4:N18)</f>
        <v>1.7320508075688772</v>
      </c>
      <c r="Q4" s="4">
        <v>86</v>
      </c>
      <c r="R4" s="4" t="str">
        <f t="shared" ref="R4:R17" si="5">ROMAN(Q4)</f>
        <v>LXXXVI</v>
      </c>
    </row>
    <row r="5" spans="1:18" ht="15.75" x14ac:dyDescent="0.25">
      <c r="A5" s="3">
        <v>55</v>
      </c>
      <c r="B5" s="3">
        <f t="shared" si="0"/>
        <v>56</v>
      </c>
      <c r="D5" s="3">
        <v>55</v>
      </c>
      <c r="E5" s="3">
        <f t="shared" si="1"/>
        <v>55</v>
      </c>
      <c r="G5" s="3">
        <v>5</v>
      </c>
      <c r="H5" s="3">
        <f t="shared" si="2"/>
        <v>120</v>
      </c>
      <c r="J5" s="3">
        <v>5</v>
      </c>
      <c r="K5" s="3">
        <v>4</v>
      </c>
      <c r="L5" s="3">
        <f t="shared" si="3"/>
        <v>625</v>
      </c>
      <c r="N5" s="3">
        <v>5</v>
      </c>
      <c r="O5" s="3">
        <f t="shared" si="4"/>
        <v>2.2360679774997898</v>
      </c>
      <c r="Q5" s="4">
        <v>55</v>
      </c>
      <c r="R5" s="4" t="str">
        <f t="shared" si="5"/>
        <v>LV</v>
      </c>
    </row>
    <row r="6" spans="1:18" ht="15.75" x14ac:dyDescent="0.25">
      <c r="A6" s="3">
        <v>74</v>
      </c>
      <c r="B6" s="3">
        <f t="shared" si="0"/>
        <v>74</v>
      </c>
      <c r="D6" s="3">
        <v>74</v>
      </c>
      <c r="E6" s="3">
        <f t="shared" si="1"/>
        <v>75</v>
      </c>
      <c r="G6" s="3">
        <v>7</v>
      </c>
      <c r="H6" s="3">
        <f t="shared" si="2"/>
        <v>5040</v>
      </c>
      <c r="J6" s="3">
        <v>7</v>
      </c>
      <c r="K6" s="3">
        <v>5</v>
      </c>
      <c r="L6" s="3">
        <f t="shared" si="3"/>
        <v>16807</v>
      </c>
      <c r="N6" s="3">
        <v>7</v>
      </c>
      <c r="O6" s="3">
        <f t="shared" si="4"/>
        <v>2.6457513110645907</v>
      </c>
      <c r="Q6" s="4">
        <v>74</v>
      </c>
      <c r="R6" s="4" t="str">
        <f t="shared" si="5"/>
        <v>LXXIV</v>
      </c>
    </row>
    <row r="7" spans="1:18" ht="15.75" x14ac:dyDescent="0.25">
      <c r="A7" s="3">
        <v>88</v>
      </c>
      <c r="B7" s="3">
        <f t="shared" si="0"/>
        <v>88</v>
      </c>
      <c r="D7" s="3">
        <v>88</v>
      </c>
      <c r="E7" s="3">
        <f t="shared" si="1"/>
        <v>89</v>
      </c>
      <c r="G7" s="3">
        <v>3</v>
      </c>
      <c r="H7" s="3">
        <f t="shared" si="2"/>
        <v>6</v>
      </c>
      <c r="J7" s="3">
        <v>3</v>
      </c>
      <c r="K7" s="3">
        <v>1</v>
      </c>
      <c r="L7" s="3">
        <f t="shared" si="3"/>
        <v>3</v>
      </c>
      <c r="N7" s="3">
        <v>3</v>
      </c>
      <c r="O7" s="3">
        <f t="shared" si="4"/>
        <v>1.7320508075688772</v>
      </c>
      <c r="Q7" s="4">
        <v>88</v>
      </c>
      <c r="R7" s="4" t="str">
        <f t="shared" si="5"/>
        <v>LXXXVIII</v>
      </c>
    </row>
    <row r="8" spans="1:18" ht="15.75" x14ac:dyDescent="0.25">
      <c r="A8" s="3">
        <v>60</v>
      </c>
      <c r="B8" s="3">
        <f t="shared" si="0"/>
        <v>60</v>
      </c>
      <c r="D8" s="3">
        <v>60</v>
      </c>
      <c r="E8" s="3">
        <f t="shared" si="1"/>
        <v>61</v>
      </c>
      <c r="G8" s="3">
        <v>2</v>
      </c>
      <c r="H8" s="3">
        <f t="shared" si="2"/>
        <v>2</v>
      </c>
      <c r="J8" s="3">
        <v>2</v>
      </c>
      <c r="K8" s="3">
        <v>2</v>
      </c>
      <c r="L8" s="3">
        <f t="shared" si="3"/>
        <v>4</v>
      </c>
      <c r="N8" s="3">
        <v>2</v>
      </c>
      <c r="O8" s="3">
        <f t="shared" si="4"/>
        <v>1.4142135623730951</v>
      </c>
      <c r="Q8" s="4">
        <v>60</v>
      </c>
      <c r="R8" s="4" t="str">
        <f t="shared" si="5"/>
        <v>LX</v>
      </c>
    </row>
    <row r="9" spans="1:18" ht="15.75" x14ac:dyDescent="0.25">
      <c r="A9" s="3">
        <v>55</v>
      </c>
      <c r="B9" s="3">
        <f t="shared" si="0"/>
        <v>56</v>
      </c>
      <c r="D9" s="3">
        <v>55</v>
      </c>
      <c r="E9" s="3">
        <f t="shared" si="1"/>
        <v>55</v>
      </c>
      <c r="G9" s="3">
        <v>3</v>
      </c>
      <c r="H9" s="3">
        <f>FACT(G9:G22)</f>
        <v>6</v>
      </c>
      <c r="J9" s="3">
        <v>3</v>
      </c>
      <c r="K9" s="3">
        <v>3</v>
      </c>
      <c r="L9" s="3">
        <f t="shared" si="3"/>
        <v>27</v>
      </c>
      <c r="N9" s="3">
        <v>3</v>
      </c>
      <c r="O9" s="3">
        <f>SQRT(N9:N22)</f>
        <v>1.7320508075688772</v>
      </c>
      <c r="Q9" s="4">
        <v>55</v>
      </c>
      <c r="R9" s="4" t="str">
        <f t="shared" si="5"/>
        <v>LV</v>
      </c>
    </row>
    <row r="10" spans="1:18" ht="15.75" x14ac:dyDescent="0.25">
      <c r="A10" s="3">
        <v>84</v>
      </c>
      <c r="B10" s="3">
        <f t="shared" si="0"/>
        <v>84</v>
      </c>
      <c r="D10" s="3">
        <v>84</v>
      </c>
      <c r="E10" s="3">
        <f t="shared" si="1"/>
        <v>85</v>
      </c>
      <c r="G10" s="3">
        <v>2</v>
      </c>
      <c r="H10" s="3">
        <f>FACT(G10:G23)</f>
        <v>2</v>
      </c>
      <c r="J10" s="3">
        <v>2</v>
      </c>
      <c r="K10" s="3">
        <v>4</v>
      </c>
      <c r="L10" s="3">
        <f t="shared" si="3"/>
        <v>16</v>
      </c>
      <c r="N10" s="3">
        <v>2</v>
      </c>
      <c r="O10" s="3">
        <f>SQRT(N10:N23)</f>
        <v>1.4142135623730951</v>
      </c>
      <c r="Q10" s="4">
        <v>84</v>
      </c>
      <c r="R10" s="4" t="str">
        <f t="shared" si="5"/>
        <v>LXXXIV</v>
      </c>
    </row>
    <row r="11" spans="1:18" ht="15.75" x14ac:dyDescent="0.25">
      <c r="A11" s="3">
        <v>57</v>
      </c>
      <c r="B11" s="3">
        <f t="shared" si="0"/>
        <v>58</v>
      </c>
      <c r="D11" s="3">
        <v>57</v>
      </c>
      <c r="E11" s="3">
        <f t="shared" si="1"/>
        <v>57</v>
      </c>
      <c r="G11" s="3">
        <v>9</v>
      </c>
      <c r="H11" s="3">
        <f t="shared" ref="H11:H17" si="6">FACT(G11:G23)</f>
        <v>362880</v>
      </c>
      <c r="J11" s="3">
        <v>9</v>
      </c>
      <c r="K11" s="3">
        <v>5</v>
      </c>
      <c r="L11" s="3">
        <f t="shared" si="3"/>
        <v>59049</v>
      </c>
      <c r="N11" s="3">
        <v>9</v>
      </c>
      <c r="O11" s="3">
        <f t="shared" ref="O11:O17" si="7">SQRT(N11:N23)</f>
        <v>3</v>
      </c>
      <c r="Q11" s="4">
        <v>57</v>
      </c>
      <c r="R11" s="4" t="str">
        <f t="shared" si="5"/>
        <v>LVII</v>
      </c>
    </row>
    <row r="12" spans="1:18" ht="15.75" x14ac:dyDescent="0.25">
      <c r="A12" s="3">
        <v>82</v>
      </c>
      <c r="B12" s="3">
        <f t="shared" si="0"/>
        <v>82</v>
      </c>
      <c r="D12" s="3">
        <v>82</v>
      </c>
      <c r="E12" s="3">
        <f t="shared" si="1"/>
        <v>83</v>
      </c>
      <c r="G12" s="3">
        <v>2</v>
      </c>
      <c r="H12" s="3">
        <f t="shared" si="6"/>
        <v>2</v>
      </c>
      <c r="J12" s="3">
        <v>2</v>
      </c>
      <c r="K12" s="3">
        <v>1</v>
      </c>
      <c r="L12" s="3">
        <f t="shared" si="3"/>
        <v>2</v>
      </c>
      <c r="N12" s="3">
        <v>2</v>
      </c>
      <c r="O12" s="3">
        <f t="shared" si="7"/>
        <v>1.4142135623730951</v>
      </c>
      <c r="Q12" s="4">
        <v>82</v>
      </c>
      <c r="R12" s="4" t="str">
        <f t="shared" si="5"/>
        <v>LXXXII</v>
      </c>
    </row>
    <row r="13" spans="1:18" ht="15.75" x14ac:dyDescent="0.25">
      <c r="A13" s="3">
        <v>81</v>
      </c>
      <c r="B13" s="3">
        <f t="shared" si="0"/>
        <v>82</v>
      </c>
      <c r="D13" s="3">
        <v>81</v>
      </c>
      <c r="E13" s="3">
        <f t="shared" si="1"/>
        <v>81</v>
      </c>
      <c r="G13" s="3">
        <v>2</v>
      </c>
      <c r="H13" s="3">
        <f t="shared" si="6"/>
        <v>2</v>
      </c>
      <c r="J13" s="3">
        <v>2</v>
      </c>
      <c r="K13" s="3">
        <v>2</v>
      </c>
      <c r="L13" s="3">
        <f t="shared" si="3"/>
        <v>4</v>
      </c>
      <c r="N13" s="3">
        <v>2</v>
      </c>
      <c r="O13" s="3">
        <f t="shared" si="7"/>
        <v>1.4142135623730951</v>
      </c>
      <c r="Q13" s="4">
        <v>81</v>
      </c>
      <c r="R13" s="4" t="str">
        <f t="shared" si="5"/>
        <v>LXXXI</v>
      </c>
    </row>
    <row r="14" spans="1:18" ht="15.75" x14ac:dyDescent="0.25">
      <c r="A14" s="3">
        <v>67</v>
      </c>
      <c r="B14" s="3">
        <f t="shared" si="0"/>
        <v>68</v>
      </c>
      <c r="D14" s="3">
        <v>67</v>
      </c>
      <c r="E14" s="3">
        <f t="shared" si="1"/>
        <v>67</v>
      </c>
      <c r="G14" s="3">
        <v>2</v>
      </c>
      <c r="H14" s="3">
        <f t="shared" si="6"/>
        <v>2</v>
      </c>
      <c r="J14" s="3">
        <v>2</v>
      </c>
      <c r="K14" s="3">
        <v>3</v>
      </c>
      <c r="L14" s="3">
        <f t="shared" si="3"/>
        <v>8</v>
      </c>
      <c r="N14" s="3">
        <v>2</v>
      </c>
      <c r="O14" s="3">
        <f t="shared" si="7"/>
        <v>1.4142135623730951</v>
      </c>
      <c r="Q14" s="4">
        <v>67</v>
      </c>
      <c r="R14" s="4" t="str">
        <f t="shared" si="5"/>
        <v>LXVII</v>
      </c>
    </row>
    <row r="15" spans="1:18" ht="15.75" x14ac:dyDescent="0.25">
      <c r="A15" s="3">
        <v>55</v>
      </c>
      <c r="B15" s="3">
        <f t="shared" si="0"/>
        <v>56</v>
      </c>
      <c r="D15" s="3">
        <v>55</v>
      </c>
      <c r="E15" s="3">
        <f t="shared" si="1"/>
        <v>55</v>
      </c>
      <c r="G15" s="3">
        <v>5</v>
      </c>
      <c r="H15" s="3">
        <f t="shared" si="6"/>
        <v>120</v>
      </c>
      <c r="J15" s="3">
        <v>5</v>
      </c>
      <c r="K15" s="3">
        <v>4</v>
      </c>
      <c r="L15" s="3">
        <f t="shared" si="3"/>
        <v>625</v>
      </c>
      <c r="N15" s="3">
        <v>5</v>
      </c>
      <c r="O15" s="3">
        <f t="shared" si="7"/>
        <v>2.2360679774997898</v>
      </c>
      <c r="Q15" s="4">
        <v>55</v>
      </c>
      <c r="R15" s="4" t="str">
        <f t="shared" si="5"/>
        <v>LV</v>
      </c>
    </row>
    <row r="16" spans="1:18" ht="15.75" x14ac:dyDescent="0.25">
      <c r="A16" s="3">
        <v>81</v>
      </c>
      <c r="B16" s="3">
        <f t="shared" si="0"/>
        <v>82</v>
      </c>
      <c r="D16" s="3">
        <v>81</v>
      </c>
      <c r="E16" s="3">
        <f t="shared" si="1"/>
        <v>81</v>
      </c>
      <c r="G16" s="3">
        <v>4</v>
      </c>
      <c r="H16" s="3">
        <f t="shared" si="6"/>
        <v>24</v>
      </c>
      <c r="J16" s="3">
        <v>4</v>
      </c>
      <c r="K16" s="3">
        <v>5</v>
      </c>
      <c r="L16" s="3">
        <f t="shared" si="3"/>
        <v>1024</v>
      </c>
      <c r="N16" s="3">
        <v>4</v>
      </c>
      <c r="O16" s="3">
        <f t="shared" si="7"/>
        <v>2</v>
      </c>
      <c r="Q16" s="4">
        <v>81</v>
      </c>
      <c r="R16" s="4" t="str">
        <f t="shared" si="5"/>
        <v>LXXXI</v>
      </c>
    </row>
    <row r="17" spans="1:20" ht="15.75" x14ac:dyDescent="0.25">
      <c r="A17" s="3">
        <v>82</v>
      </c>
      <c r="B17" s="3">
        <f t="shared" si="0"/>
        <v>82</v>
      </c>
      <c r="D17" s="3">
        <v>82</v>
      </c>
      <c r="E17" s="3">
        <f t="shared" si="1"/>
        <v>83</v>
      </c>
      <c r="G17" s="3">
        <v>8</v>
      </c>
      <c r="H17" s="3">
        <f t="shared" si="6"/>
        <v>40320</v>
      </c>
      <c r="J17" s="3">
        <v>8</v>
      </c>
      <c r="K17" s="3">
        <v>6</v>
      </c>
      <c r="L17" s="3">
        <f t="shared" si="3"/>
        <v>262144</v>
      </c>
      <c r="N17" s="3">
        <v>8</v>
      </c>
      <c r="O17" s="3">
        <f t="shared" si="7"/>
        <v>2.8284271247461903</v>
      </c>
      <c r="Q17" s="4">
        <v>82</v>
      </c>
      <c r="R17" s="4" t="str">
        <f t="shared" si="5"/>
        <v>LXXXII</v>
      </c>
    </row>
    <row r="18" spans="1:20" ht="15.75" x14ac:dyDescent="0.25">
      <c r="J18" s="3"/>
      <c r="K18" s="3" t="s">
        <v>6</v>
      </c>
      <c r="L18" s="3"/>
    </row>
    <row r="20" spans="1:20" ht="15.75" x14ac:dyDescent="0.25">
      <c r="A20" s="5" t="s">
        <v>9</v>
      </c>
      <c r="B20" s="5"/>
      <c r="D20" s="5" t="s">
        <v>10</v>
      </c>
      <c r="E20" s="5"/>
      <c r="F20" s="5"/>
      <c r="H20" s="5" t="s">
        <v>20</v>
      </c>
      <c r="I20" s="5"/>
      <c r="J20" s="5"/>
      <c r="L20" s="5" t="s">
        <v>21</v>
      </c>
      <c r="M20" s="5"/>
      <c r="N20" s="5"/>
      <c r="P20" s="5" t="s">
        <v>24</v>
      </c>
      <c r="Q20" s="5"/>
      <c r="S20" s="6" t="s">
        <v>26</v>
      </c>
      <c r="T20" s="6"/>
    </row>
    <row r="21" spans="1:20" ht="15.75" x14ac:dyDescent="0.25">
      <c r="A21" s="3" t="s">
        <v>1</v>
      </c>
      <c r="B21" s="3" t="s">
        <v>2</v>
      </c>
      <c r="D21" s="3" t="s">
        <v>1</v>
      </c>
      <c r="E21" s="3" t="s">
        <v>5</v>
      </c>
      <c r="F21" s="3" t="s">
        <v>2</v>
      </c>
      <c r="H21" s="3" t="s">
        <v>17</v>
      </c>
      <c r="I21" s="3" t="s">
        <v>18</v>
      </c>
      <c r="J21" s="3" t="s">
        <v>2</v>
      </c>
      <c r="L21" s="3" t="s">
        <v>1</v>
      </c>
      <c r="M21" s="3" t="s">
        <v>22</v>
      </c>
      <c r="N21" s="3" t="s">
        <v>23</v>
      </c>
      <c r="P21" s="3" t="s">
        <v>1</v>
      </c>
      <c r="Q21" s="3" t="s">
        <v>25</v>
      </c>
      <c r="S21" s="2" t="s">
        <v>1</v>
      </c>
      <c r="T21" s="2" t="s">
        <v>27</v>
      </c>
    </row>
    <row r="22" spans="1:20" ht="15.75" x14ac:dyDescent="0.25">
      <c r="A22" s="3">
        <v>58</v>
      </c>
      <c r="B22" s="3"/>
      <c r="D22" s="3">
        <v>4</v>
      </c>
      <c r="E22" s="3">
        <v>2</v>
      </c>
      <c r="F22" s="3">
        <f>SUMSQ(D22,E22)</f>
        <v>20</v>
      </c>
      <c r="H22" s="3" t="s">
        <v>11</v>
      </c>
      <c r="I22" s="3">
        <v>21948</v>
      </c>
      <c r="J22" s="3"/>
      <c r="L22" s="3">
        <v>4</v>
      </c>
      <c r="M22" s="3">
        <v>2</v>
      </c>
      <c r="N22" s="3">
        <f>MOD(L22,M22)</f>
        <v>0</v>
      </c>
      <c r="P22" s="3">
        <v>2.55566</v>
      </c>
      <c r="Q22" s="3">
        <f>ROUND(P22,2)</f>
        <v>2.56</v>
      </c>
      <c r="S22" s="2">
        <v>2.55566</v>
      </c>
      <c r="T22" s="2">
        <f>INT(S22)</f>
        <v>2</v>
      </c>
    </row>
    <row r="23" spans="1:20" ht="15.75" x14ac:dyDescent="0.25">
      <c r="A23" s="3">
        <v>55</v>
      </c>
      <c r="B23" s="3"/>
      <c r="D23" s="3">
        <v>3</v>
      </c>
      <c r="E23" s="3">
        <v>3</v>
      </c>
      <c r="F23" s="3">
        <f t="shared" ref="F23:F36" si="8">SUMSQ(D23,E23)</f>
        <v>18</v>
      </c>
      <c r="H23" s="3" t="s">
        <v>12</v>
      </c>
      <c r="I23" s="3">
        <v>17490</v>
      </c>
      <c r="J23" s="3"/>
      <c r="L23" s="3">
        <v>3</v>
      </c>
      <c r="M23" s="3">
        <v>3</v>
      </c>
      <c r="N23" s="3">
        <f t="shared" ref="N23:N36" si="9">MOD(L23,M23)</f>
        <v>0</v>
      </c>
      <c r="P23" s="3">
        <v>4.2553999999999998</v>
      </c>
      <c r="Q23" s="3">
        <f t="shared" ref="Q23:Q36" si="10">ROUND(P23,2)</f>
        <v>4.26</v>
      </c>
      <c r="S23" s="2">
        <v>4.2553999999999998</v>
      </c>
      <c r="T23" s="2">
        <f t="shared" ref="T23:T36" si="11">INT(S23)</f>
        <v>4</v>
      </c>
    </row>
    <row r="24" spans="1:20" ht="15.75" x14ac:dyDescent="0.25">
      <c r="A24" s="3">
        <v>55</v>
      </c>
      <c r="B24" s="3"/>
      <c r="D24" s="3">
        <v>5</v>
      </c>
      <c r="E24" s="3">
        <v>4</v>
      </c>
      <c r="F24" s="3">
        <f t="shared" si="8"/>
        <v>41</v>
      </c>
      <c r="H24" s="3" t="s">
        <v>13</v>
      </c>
      <c r="I24" s="3">
        <v>19095</v>
      </c>
      <c r="J24" s="3" t="s">
        <v>19</v>
      </c>
      <c r="L24" s="3">
        <v>5</v>
      </c>
      <c r="M24" s="3">
        <v>4</v>
      </c>
      <c r="N24" s="3">
        <f t="shared" si="9"/>
        <v>1</v>
      </c>
      <c r="P24" s="3">
        <v>5.9551400000000001</v>
      </c>
      <c r="Q24" s="3">
        <f t="shared" si="10"/>
        <v>5.96</v>
      </c>
      <c r="S24" s="2">
        <v>5.9551400000000001</v>
      </c>
      <c r="T24" s="2">
        <f t="shared" si="11"/>
        <v>5</v>
      </c>
    </row>
    <row r="25" spans="1:20" ht="15.75" x14ac:dyDescent="0.25">
      <c r="A25" s="3">
        <v>84</v>
      </c>
      <c r="B25" s="3"/>
      <c r="D25" s="3">
        <v>7</v>
      </c>
      <c r="E25" s="3">
        <v>5</v>
      </c>
      <c r="F25" s="3">
        <f t="shared" si="8"/>
        <v>74</v>
      </c>
      <c r="H25" s="3" t="s">
        <v>14</v>
      </c>
      <c r="I25" s="3">
        <v>19191</v>
      </c>
      <c r="J25" s="3"/>
      <c r="L25" s="3">
        <v>7</v>
      </c>
      <c r="M25" s="3">
        <v>5</v>
      </c>
      <c r="N25" s="3">
        <f t="shared" si="9"/>
        <v>2</v>
      </c>
      <c r="P25" s="3">
        <v>7.6548800000000004</v>
      </c>
      <c r="Q25" s="3">
        <f t="shared" si="10"/>
        <v>7.65</v>
      </c>
      <c r="S25" s="2">
        <v>7.6548800000000004</v>
      </c>
      <c r="T25" s="2">
        <f t="shared" si="11"/>
        <v>7</v>
      </c>
    </row>
    <row r="26" spans="1:20" ht="15.75" x14ac:dyDescent="0.25">
      <c r="A26" s="3">
        <v>57</v>
      </c>
      <c r="B26" s="3">
        <f>SUM(A22:A32)</f>
        <v>757</v>
      </c>
      <c r="D26" s="3">
        <v>3</v>
      </c>
      <c r="E26" s="3">
        <v>1</v>
      </c>
      <c r="F26" s="3">
        <f t="shared" si="8"/>
        <v>10</v>
      </c>
      <c r="H26" s="3" t="s">
        <v>15</v>
      </c>
      <c r="I26" s="3">
        <v>15195</v>
      </c>
      <c r="J26" s="3" t="s">
        <v>16</v>
      </c>
      <c r="L26" s="3">
        <v>3</v>
      </c>
      <c r="M26" s="3">
        <v>1</v>
      </c>
      <c r="N26" s="3">
        <f t="shared" si="9"/>
        <v>0</v>
      </c>
      <c r="P26" s="3">
        <v>9.3546200000000006</v>
      </c>
      <c r="Q26" s="3">
        <f t="shared" si="10"/>
        <v>9.35</v>
      </c>
      <c r="S26" s="2">
        <v>9.3546200000000006</v>
      </c>
      <c r="T26" s="2">
        <f t="shared" si="11"/>
        <v>9</v>
      </c>
    </row>
    <row r="27" spans="1:20" ht="15.75" x14ac:dyDescent="0.25">
      <c r="A27" s="3">
        <v>82</v>
      </c>
      <c r="B27" s="3"/>
      <c r="D27" s="3">
        <v>2</v>
      </c>
      <c r="E27" s="3">
        <v>2</v>
      </c>
      <c r="F27" s="3">
        <f t="shared" si="8"/>
        <v>8</v>
      </c>
      <c r="H27" s="3" t="s">
        <v>12</v>
      </c>
      <c r="I27" s="3">
        <v>19479</v>
      </c>
      <c r="J27" s="3">
        <f>SUMIF(H22:H30,J26,I22:I30)</f>
        <v>16432</v>
      </c>
      <c r="L27" s="3">
        <v>2</v>
      </c>
      <c r="M27" s="3">
        <v>2</v>
      </c>
      <c r="N27" s="3">
        <f t="shared" si="9"/>
        <v>0</v>
      </c>
      <c r="P27" s="3">
        <v>11.054360000000001</v>
      </c>
      <c r="Q27" s="3">
        <f t="shared" si="10"/>
        <v>11.05</v>
      </c>
      <c r="S27" s="2">
        <v>11.054360000000001</v>
      </c>
      <c r="T27" s="2">
        <f t="shared" si="11"/>
        <v>11</v>
      </c>
    </row>
    <row r="28" spans="1:20" ht="15.75" x14ac:dyDescent="0.25">
      <c r="A28" s="3">
        <v>81</v>
      </c>
      <c r="B28" s="3"/>
      <c r="D28" s="3">
        <v>3</v>
      </c>
      <c r="E28" s="3">
        <v>3</v>
      </c>
      <c r="F28" s="3">
        <f t="shared" si="8"/>
        <v>18</v>
      </c>
      <c r="H28" s="3" t="s">
        <v>16</v>
      </c>
      <c r="I28" s="3">
        <v>16432</v>
      </c>
      <c r="J28" s="3"/>
      <c r="L28" s="3">
        <v>3</v>
      </c>
      <c r="M28" s="3">
        <v>3</v>
      </c>
      <c r="N28" s="3">
        <f t="shared" si="9"/>
        <v>0</v>
      </c>
      <c r="P28" s="3">
        <v>12.754099999999999</v>
      </c>
      <c r="Q28" s="3">
        <f t="shared" si="10"/>
        <v>12.75</v>
      </c>
      <c r="S28" s="2">
        <v>12.754099999999999</v>
      </c>
      <c r="T28" s="2">
        <f t="shared" si="11"/>
        <v>12</v>
      </c>
    </row>
    <row r="29" spans="1:20" ht="15.75" x14ac:dyDescent="0.25">
      <c r="A29" s="3">
        <v>67</v>
      </c>
      <c r="B29" s="3"/>
      <c r="D29" s="3">
        <v>2</v>
      </c>
      <c r="E29" s="3">
        <v>4</v>
      </c>
      <c r="F29" s="3">
        <f t="shared" si="8"/>
        <v>20</v>
      </c>
      <c r="H29" s="3" t="s">
        <v>11</v>
      </c>
      <c r="I29" s="3">
        <v>10102</v>
      </c>
      <c r="J29" s="3" t="s">
        <v>17</v>
      </c>
      <c r="L29" s="3">
        <v>2</v>
      </c>
      <c r="M29" s="3">
        <v>4</v>
      </c>
      <c r="N29" s="3">
        <f t="shared" si="9"/>
        <v>2</v>
      </c>
      <c r="P29" s="3">
        <v>14.45384</v>
      </c>
      <c r="Q29" s="3">
        <f t="shared" si="10"/>
        <v>14.45</v>
      </c>
      <c r="S29" s="2">
        <v>14.45384</v>
      </c>
      <c r="T29" s="2">
        <f t="shared" si="11"/>
        <v>14</v>
      </c>
    </row>
    <row r="30" spans="1:20" ht="15.75" x14ac:dyDescent="0.25">
      <c r="A30" s="3">
        <v>55</v>
      </c>
      <c r="B30" s="3"/>
      <c r="D30" s="3">
        <v>9</v>
      </c>
      <c r="E30" s="3">
        <v>5</v>
      </c>
      <c r="F30" s="3">
        <f t="shared" si="8"/>
        <v>106</v>
      </c>
      <c r="H30" s="3" t="s">
        <v>13</v>
      </c>
      <c r="I30" s="3">
        <v>12336</v>
      </c>
      <c r="J30" s="3"/>
      <c r="L30" s="3">
        <v>9</v>
      </c>
      <c r="M30" s="3">
        <v>5</v>
      </c>
      <c r="N30" s="3">
        <f t="shared" si="9"/>
        <v>4</v>
      </c>
      <c r="P30" s="3">
        <v>16.153580000000002</v>
      </c>
      <c r="Q30" s="3">
        <f t="shared" si="10"/>
        <v>16.149999999999999</v>
      </c>
      <c r="S30" s="2">
        <v>16.153580000000002</v>
      </c>
      <c r="T30" s="2">
        <f t="shared" si="11"/>
        <v>16</v>
      </c>
    </row>
    <row r="31" spans="1:20" ht="15.75" x14ac:dyDescent="0.25">
      <c r="A31" s="3">
        <v>81</v>
      </c>
      <c r="B31" s="3"/>
      <c r="D31" s="3">
        <v>2</v>
      </c>
      <c r="E31" s="3">
        <v>1</v>
      </c>
      <c r="F31" s="3">
        <f t="shared" si="8"/>
        <v>5</v>
      </c>
      <c r="L31" s="3">
        <v>2</v>
      </c>
      <c r="M31" s="3">
        <v>1</v>
      </c>
      <c r="N31" s="3">
        <f t="shared" si="9"/>
        <v>0</v>
      </c>
      <c r="P31" s="3">
        <v>17.85332</v>
      </c>
      <c r="Q31" s="3">
        <f t="shared" si="10"/>
        <v>17.850000000000001</v>
      </c>
      <c r="S31" s="2">
        <v>17.85332</v>
      </c>
      <c r="T31" s="2">
        <f t="shared" si="11"/>
        <v>17</v>
      </c>
    </row>
    <row r="32" spans="1:20" ht="15.75" x14ac:dyDescent="0.25">
      <c r="A32" s="3">
        <v>82</v>
      </c>
      <c r="B32" s="3"/>
      <c r="D32" s="3">
        <v>2</v>
      </c>
      <c r="E32" s="3">
        <v>2</v>
      </c>
      <c r="F32" s="3">
        <f t="shared" si="8"/>
        <v>8</v>
      </c>
      <c r="H32" s="27" t="s">
        <v>28</v>
      </c>
      <c r="I32" s="27"/>
      <c r="L32" s="3">
        <v>2</v>
      </c>
      <c r="M32" s="3">
        <v>2</v>
      </c>
      <c r="N32" s="3">
        <f t="shared" si="9"/>
        <v>0</v>
      </c>
      <c r="P32" s="3">
        <v>19.553059999999999</v>
      </c>
      <c r="Q32" s="3">
        <f t="shared" si="10"/>
        <v>19.55</v>
      </c>
      <c r="S32" s="2">
        <v>19.553059999999999</v>
      </c>
      <c r="T32" s="2">
        <f t="shared" si="11"/>
        <v>19</v>
      </c>
    </row>
    <row r="33" spans="1:20" ht="15.75" x14ac:dyDescent="0.25">
      <c r="D33" s="3">
        <v>2</v>
      </c>
      <c r="E33" s="3">
        <v>3</v>
      </c>
      <c r="F33" s="3">
        <f t="shared" si="8"/>
        <v>13</v>
      </c>
      <c r="H33" s="5" t="s">
        <v>2</v>
      </c>
      <c r="I33" s="5"/>
      <c r="L33" s="3">
        <v>2</v>
      </c>
      <c r="M33" s="3">
        <v>3</v>
      </c>
      <c r="N33" s="3">
        <f t="shared" si="9"/>
        <v>2</v>
      </c>
      <c r="P33" s="3">
        <v>21.252800000000001</v>
      </c>
      <c r="Q33" s="3">
        <f t="shared" si="10"/>
        <v>21.25</v>
      </c>
      <c r="S33" s="2">
        <v>21.252800000000001</v>
      </c>
      <c r="T33" s="2">
        <f t="shared" si="11"/>
        <v>21</v>
      </c>
    </row>
    <row r="34" spans="1:20" ht="15.75" x14ac:dyDescent="0.25">
      <c r="A34" s="5" t="s">
        <v>29</v>
      </c>
      <c r="B34" s="5"/>
      <c r="D34" s="3">
        <v>5</v>
      </c>
      <c r="E34" s="3">
        <v>4</v>
      </c>
      <c r="F34" s="3">
        <f t="shared" si="8"/>
        <v>41</v>
      </c>
      <c r="H34" s="5">
        <f>PI()</f>
        <v>3.1415926535897931</v>
      </c>
      <c r="I34" s="5"/>
      <c r="L34" s="3">
        <v>5</v>
      </c>
      <c r="M34" s="3">
        <v>4</v>
      </c>
      <c r="N34" s="3">
        <f t="shared" si="9"/>
        <v>1</v>
      </c>
      <c r="P34" s="3">
        <v>22.952539999999999</v>
      </c>
      <c r="Q34" s="3">
        <f t="shared" si="10"/>
        <v>22.95</v>
      </c>
      <c r="S34" s="2">
        <v>22.952539999999999</v>
      </c>
      <c r="T34" s="2">
        <f t="shared" si="11"/>
        <v>22</v>
      </c>
    </row>
    <row r="35" spans="1:20" ht="15.75" x14ac:dyDescent="0.25">
      <c r="A35" s="5" t="s">
        <v>2</v>
      </c>
      <c r="B35" s="5"/>
      <c r="D35" s="3">
        <v>4</v>
      </c>
      <c r="E35" s="3">
        <v>5</v>
      </c>
      <c r="F35" s="3">
        <f t="shared" si="8"/>
        <v>41</v>
      </c>
      <c r="L35" s="3">
        <v>4</v>
      </c>
      <c r="M35" s="3">
        <v>5</v>
      </c>
      <c r="N35" s="3">
        <f t="shared" si="9"/>
        <v>4</v>
      </c>
      <c r="P35" s="3">
        <v>24.652280000000001</v>
      </c>
      <c r="Q35" s="3">
        <f t="shared" si="10"/>
        <v>24.65</v>
      </c>
      <c r="S35" s="2">
        <v>24.652280000000001</v>
      </c>
      <c r="T35" s="2">
        <f t="shared" si="11"/>
        <v>24</v>
      </c>
    </row>
    <row r="36" spans="1:20" ht="15.75" x14ac:dyDescent="0.25">
      <c r="A36" s="5">
        <f ca="1">RAND()</f>
        <v>0.11428122626252335</v>
      </c>
      <c r="B36" s="5"/>
      <c r="D36" s="3">
        <v>8</v>
      </c>
      <c r="E36" s="3">
        <v>6</v>
      </c>
      <c r="F36" s="3">
        <f t="shared" si="8"/>
        <v>100</v>
      </c>
      <c r="H36" s="5" t="s">
        <v>30</v>
      </c>
      <c r="I36" s="5"/>
      <c r="L36" s="3">
        <v>8</v>
      </c>
      <c r="M36" s="3">
        <v>6</v>
      </c>
      <c r="N36" s="3">
        <f t="shared" si="9"/>
        <v>2</v>
      </c>
      <c r="P36" s="3">
        <v>26.35202</v>
      </c>
      <c r="Q36" s="3">
        <f t="shared" si="10"/>
        <v>26.35</v>
      </c>
      <c r="S36" s="2">
        <v>26.35202</v>
      </c>
      <c r="T36" s="2">
        <f t="shared" si="11"/>
        <v>26</v>
      </c>
    </row>
    <row r="37" spans="1:20" ht="15.75" x14ac:dyDescent="0.25">
      <c r="H37" s="5" t="s">
        <v>2</v>
      </c>
      <c r="I37" s="5"/>
    </row>
    <row r="38" spans="1:20" ht="15.75" x14ac:dyDescent="0.25">
      <c r="H38" s="5">
        <f ca="1">RANDBETWEEN(1,100)</f>
        <v>76</v>
      </c>
      <c r="I38" s="5"/>
    </row>
    <row r="39" spans="1:20" ht="15.75" x14ac:dyDescent="0.25">
      <c r="G39" s="26"/>
      <c r="H39" s="26"/>
    </row>
    <row r="40" spans="1:20" ht="15.75" x14ac:dyDescent="0.25">
      <c r="G40" s="25"/>
      <c r="H40" s="25"/>
    </row>
    <row r="41" spans="1:20" ht="15.75" x14ac:dyDescent="0.25">
      <c r="G41" s="25"/>
      <c r="H41" s="25"/>
    </row>
    <row r="46" spans="1:20" x14ac:dyDescent="0.25">
      <c r="N46" s="1" t="s">
        <v>31</v>
      </c>
    </row>
  </sheetData>
  <mergeCells count="21">
    <mergeCell ref="S20:T20"/>
    <mergeCell ref="Q1:R1"/>
    <mergeCell ref="A20:B20"/>
    <mergeCell ref="D20:F20"/>
    <mergeCell ref="H20:J20"/>
    <mergeCell ref="L20:N20"/>
    <mergeCell ref="P20:Q20"/>
    <mergeCell ref="A1:B1"/>
    <mergeCell ref="D1:E1"/>
    <mergeCell ref="G1:H1"/>
    <mergeCell ref="J1:L1"/>
    <mergeCell ref="N1:O1"/>
    <mergeCell ref="H32:I32"/>
    <mergeCell ref="H33:I33"/>
    <mergeCell ref="H34:I34"/>
    <mergeCell ref="H36:I36"/>
    <mergeCell ref="H37:I37"/>
    <mergeCell ref="H38:I38"/>
    <mergeCell ref="A35:B35"/>
    <mergeCell ref="A36:B36"/>
    <mergeCell ref="A34:B34"/>
  </mergeCells>
  <dataValidations count="1">
    <dataValidation type="list" allowBlank="1" showInputMessage="1" showErrorMessage="1" sqref="J29" xr:uid="{9825E29C-0992-4D3A-9200-04072E30F9E4}">
      <formula1>$H$21:$H$30</formula1>
    </dataValidation>
  </dataValidations>
  <pageMargins left="0.7" right="0.7" top="0.75" bottom="0.75" header="0.3" footer="0.3"/>
  <pageSetup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AF2D9AB-E7F4-4C8E-8DFA-4A72AADE3AEB}">
  <sheetPr>
    <tabColor theme="7" tint="0.39997558519241921"/>
  </sheetPr>
  <dimension ref="A1"/>
  <sheetViews>
    <sheetView tabSelected="1"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Date &amp; Time</vt:lpstr>
      <vt:lpstr>TEXT</vt:lpstr>
      <vt:lpstr>Math &amp; Trignamatry</vt:lpstr>
      <vt:lpstr>Statistical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HP</dc:creator>
  <cp:lastModifiedBy>HP</cp:lastModifiedBy>
  <dcterms:created xsi:type="dcterms:W3CDTF">2026-04-18T11:29:16Z</dcterms:created>
  <dcterms:modified xsi:type="dcterms:W3CDTF">2026-04-20T16:26:13Z</dcterms:modified>
</cp:coreProperties>
</file>