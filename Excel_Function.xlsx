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5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reeti(EXCEL)\"/>
    </mc:Choice>
  </mc:AlternateContent>
  <xr:revisionPtr revIDLastSave="0" documentId="13_ncr:1_{AEE9FC7C-57A3-4A5D-9ACA-60BD27A16B9C}" xr6:coauthVersionLast="36" xr6:coauthVersionMax="36" xr10:uidLastSave="{00000000-0000-0000-0000-000000000000}"/>
  <bookViews>
    <workbookView xWindow="0" yWindow="0" windowWidth="20490" windowHeight="7545" firstSheet="5" activeTab="5" xr2:uid="{7B572036-1714-4B53-A176-FD70F997E134}"/>
  </bookViews>
  <sheets>
    <sheet name="Math &amp; Trignamatry" sheetId="1" r:id="rId1"/>
    <sheet name="SUMIF" sheetId="2" r:id="rId2"/>
    <sheet name="SUMIF with Text critera" sheetId="3" r:id="rId3"/>
    <sheet name="SUMIF greater than" sheetId="4" r:id="rId4"/>
    <sheet name="Sumif equal &amp; not equal to" sheetId="5" r:id="rId5"/>
    <sheet name="Sumif Formula for Date" sheetId="9" r:id="rId6"/>
    <sheet name="Sumif blank &amp; non-Black" sheetId="6" r:id="rId7"/>
    <sheet name="Sumifs " sheetId="7" r:id="rId8"/>
    <sheet name="Sheet3" sheetId="8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" i="7" l="1"/>
  <c r="F13" i="8"/>
  <c r="F8" i="8"/>
  <c r="F3" i="8"/>
  <c r="B2" i="6"/>
  <c r="E2" i="6"/>
  <c r="G2" i="5" l="1"/>
  <c r="B2" i="5"/>
  <c r="F2" i="4"/>
  <c r="E2" i="3" l="1"/>
  <c r="B2" i="3"/>
  <c r="F2" i="2"/>
  <c r="H50" i="1"/>
  <c r="H46" i="1"/>
  <c r="H42" i="1"/>
  <c r="F43" i="1" l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42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23" i="1"/>
  <c r="K28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23" i="1"/>
  <c r="C27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4" i="1"/>
  <c r="I5" i="1" l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4" i="1"/>
</calcChain>
</file>

<file path=xl/sharedStrings.xml><?xml version="1.0" encoding="utf-8"?>
<sst xmlns="http://schemas.openxmlformats.org/spreadsheetml/2006/main" count="277" uniqueCount="73">
  <si>
    <t>EVEN</t>
  </si>
  <si>
    <t>NUMBER</t>
  </si>
  <si>
    <t>RESULT</t>
  </si>
  <si>
    <t>ODD</t>
  </si>
  <si>
    <t>FACT</t>
  </si>
  <si>
    <t>POWER</t>
  </si>
  <si>
    <t xml:space="preserve"> </t>
  </si>
  <si>
    <t>SQRT:- Square Root</t>
  </si>
  <si>
    <t>ROMAN</t>
  </si>
  <si>
    <t>SUM</t>
  </si>
  <si>
    <t>SUMSQ</t>
  </si>
  <si>
    <t>Python</t>
  </si>
  <si>
    <t>DM</t>
  </si>
  <si>
    <t>Web Design</t>
  </si>
  <si>
    <t xml:space="preserve">Python </t>
  </si>
  <si>
    <t>AWS</t>
  </si>
  <si>
    <t>PHP</t>
  </si>
  <si>
    <t>Cousre</t>
  </si>
  <si>
    <t>FEES</t>
  </si>
  <si>
    <t>Course</t>
  </si>
  <si>
    <t>SEMIF</t>
  </si>
  <si>
    <t>MOD</t>
  </si>
  <si>
    <t>DIVISIOR</t>
  </si>
  <si>
    <t>REMINDER</t>
  </si>
  <si>
    <t>ROUND</t>
  </si>
  <si>
    <t>.DIGITS</t>
  </si>
  <si>
    <t>INT</t>
  </si>
  <si>
    <t>INTIGER</t>
  </si>
  <si>
    <t>PI</t>
  </si>
  <si>
    <t>RAND:- 0.0-1.0</t>
  </si>
  <si>
    <t>RANDBETWEEN</t>
  </si>
  <si>
    <t xml:space="preserve">  </t>
  </si>
  <si>
    <t>Item</t>
  </si>
  <si>
    <t>Apple</t>
  </si>
  <si>
    <t>Banana</t>
  </si>
  <si>
    <t>Orange</t>
  </si>
  <si>
    <t>Amount</t>
  </si>
  <si>
    <t>Product</t>
  </si>
  <si>
    <t>All Product but not Banana</t>
  </si>
  <si>
    <t>Amount Greater Than</t>
  </si>
  <si>
    <t>Total</t>
  </si>
  <si>
    <t>Qty</t>
  </si>
  <si>
    <t>Qty.</t>
  </si>
  <si>
    <t>Any Qty. except</t>
  </si>
  <si>
    <r>
      <rPr>
        <b/>
        <sz val="19.5"/>
        <rFont val="Times New Roman"/>
        <family val="1"/>
      </rPr>
      <t>Item</t>
    </r>
  </si>
  <si>
    <r>
      <rPr>
        <b/>
        <sz val="19.5"/>
        <rFont val="Times New Roman"/>
        <family val="1"/>
      </rPr>
      <t>Amount</t>
    </r>
  </si>
  <si>
    <r>
      <rPr>
        <b/>
        <sz val="19.5"/>
        <rFont val="Times New Roman"/>
        <family val="1"/>
      </rPr>
      <t>Delivery date</t>
    </r>
  </si>
  <si>
    <r>
      <rPr>
        <sz val="19.5"/>
        <rFont val="Times New Roman"/>
        <family val="1"/>
      </rPr>
      <t>Apples</t>
    </r>
  </si>
  <si>
    <r>
      <rPr>
        <sz val="19.5"/>
        <rFont val="Times New Roman"/>
        <family val="1"/>
      </rPr>
      <t>Bananas</t>
    </r>
  </si>
  <si>
    <r>
      <rPr>
        <sz val="19.5"/>
        <rFont val="Times New Roman"/>
        <family val="1"/>
      </rPr>
      <t>Oranges</t>
    </r>
  </si>
  <si>
    <t>Delivery Date is not Known</t>
  </si>
  <si>
    <t>Delivery Date Known</t>
  </si>
  <si>
    <t>Item_1</t>
  </si>
  <si>
    <t>Item_2</t>
  </si>
  <si>
    <t>Sum</t>
  </si>
  <si>
    <t>Average</t>
  </si>
  <si>
    <t>Running Total</t>
  </si>
  <si>
    <t>Count</t>
  </si>
  <si>
    <r>
      <rPr>
        <b/>
        <sz val="19.5"/>
        <rFont val="Times New Roman"/>
        <family val="1"/>
      </rPr>
      <t>Product</t>
    </r>
  </si>
  <si>
    <r>
      <rPr>
        <b/>
        <sz val="19.5"/>
        <rFont val="Times New Roman"/>
        <family val="1"/>
      </rPr>
      <t>Supplier</t>
    </r>
  </si>
  <si>
    <r>
      <rPr>
        <b/>
        <sz val="19.5"/>
        <rFont val="Times New Roman"/>
        <family val="1"/>
      </rPr>
      <t>Qty.</t>
    </r>
  </si>
  <si>
    <r>
      <rPr>
        <sz val="19.5"/>
        <rFont val="Times New Roman"/>
        <family val="1"/>
      </rPr>
      <t>John</t>
    </r>
  </si>
  <si>
    <r>
      <rPr>
        <sz val="19.5"/>
        <rFont val="Times New Roman"/>
        <family val="1"/>
      </rPr>
      <t>Mike</t>
    </r>
  </si>
  <si>
    <r>
      <rPr>
        <sz val="19.5"/>
        <rFont val="Times New Roman"/>
        <family val="1"/>
      </rPr>
      <t>Peter</t>
    </r>
  </si>
  <si>
    <r>
      <rPr>
        <b/>
        <sz val="19.5"/>
        <rFont val="Times New Roman"/>
        <family val="1"/>
      </rPr>
      <t>Total</t>
    </r>
  </si>
  <si>
    <t>Apples</t>
  </si>
  <si>
    <t>Peter</t>
  </si>
  <si>
    <t>Bananas</t>
  </si>
  <si>
    <t>Mike</t>
  </si>
  <si>
    <t>&gt;200</t>
  </si>
  <si>
    <t>Any</t>
  </si>
  <si>
    <t>&gt;=200</t>
  </si>
  <si>
    <t xml:space="preserve">Before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</si>
</sst>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&quot;$&quot;#,##0"/>
    <numFmt numFmtId="165" formatCode="\$0"/>
    <numFmt numFmtId="166" formatCode="m/dd/yyyy;@"/>
    <numFmt numFmtId="172" formatCode="_(&quot;$&quot;* #,##0_);_(&quot;$&quot;* \(#,##0\);_(&quot;$&quot;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9.5"/>
      <name val="Times New Roman"/>
      <family val="1"/>
    </font>
    <font>
      <sz val="19.5"/>
      <name val="Times New Roman"/>
      <family val="1"/>
    </font>
    <font>
      <sz val="19.5"/>
      <color rgb="FF000000"/>
      <name val="Times New Roman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5" tint="0.7999816888943144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BDBDBD"/>
      </patternFill>
    </fill>
    <fill>
      <patternFill patternType="solid">
        <fgColor rgb="FFF3F3F3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3">
    <xf numFmtId="0" fontId="0" fillId="0" borderId="0" xfId="0"/>
    <xf numFmtId="0" fontId="2" fillId="0" borderId="1" xfId="0" applyFont="1" applyBorder="1"/>
    <xf numFmtId="164" fontId="2" fillId="0" borderId="1" xfId="1" applyNumberFormat="1" applyFont="1" applyBorder="1"/>
    <xf numFmtId="0" fontId="0" fillId="0" borderId="0" xfId="0" applyFont="1" applyBorder="1"/>
    <xf numFmtId="0" fontId="2" fillId="0" borderId="2" xfId="0" applyFont="1" applyBorder="1"/>
    <xf numFmtId="164" fontId="2" fillId="0" borderId="2" xfId="1" applyNumberFormat="1" applyFont="1" applyBorder="1"/>
    <xf numFmtId="0" fontId="3" fillId="2" borderId="3" xfId="0" applyFont="1" applyFill="1" applyBorder="1" applyAlignment="1">
      <alignment horizontal="left" vertical="top" wrapText="1"/>
    </xf>
    <xf numFmtId="0" fontId="4" fillId="0" borderId="3" xfId="0" applyFont="1" applyFill="1" applyBorder="1" applyAlignment="1">
      <alignment horizontal="left" vertical="top" wrapText="1"/>
    </xf>
    <xf numFmtId="165" fontId="5" fillId="0" borderId="3" xfId="0" applyNumberFormat="1" applyFont="1" applyFill="1" applyBorder="1" applyAlignment="1">
      <alignment horizontal="right" vertical="top" shrinkToFit="1"/>
    </xf>
    <xf numFmtId="166" fontId="5" fillId="0" borderId="3" xfId="0" applyNumberFormat="1" applyFont="1" applyFill="1" applyBorder="1" applyAlignment="1">
      <alignment horizontal="right" vertical="top" shrinkToFit="1"/>
    </xf>
    <xf numFmtId="0" fontId="4" fillId="3" borderId="3" xfId="0" applyFont="1" applyFill="1" applyBorder="1" applyAlignment="1">
      <alignment horizontal="left" vertical="top" wrapText="1"/>
    </xf>
    <xf numFmtId="165" fontId="5" fillId="3" borderId="3" xfId="0" applyNumberFormat="1" applyFont="1" applyFill="1" applyBorder="1" applyAlignment="1">
      <alignment horizontal="right" vertical="top" shrinkToFit="1"/>
    </xf>
    <xf numFmtId="166" fontId="5" fillId="3" borderId="3" xfId="0" applyNumberFormat="1" applyFont="1" applyFill="1" applyBorder="1" applyAlignment="1">
      <alignment horizontal="right" vertical="top" shrinkToFit="1"/>
    </xf>
    <xf numFmtId="0" fontId="0" fillId="0" borderId="3" xfId="0" applyFill="1" applyBorder="1" applyAlignment="1">
      <alignment horizontal="left" wrapText="1"/>
    </xf>
    <xf numFmtId="0" fontId="0" fillId="3" borderId="3" xfId="0" applyFill="1" applyBorder="1" applyAlignment="1">
      <alignment horizontal="left" wrapText="1"/>
    </xf>
    <xf numFmtId="0" fontId="6" fillId="0" borderId="1" xfId="0" applyFont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/>
    <xf numFmtId="0" fontId="2" fillId="0" borderId="0" xfId="0" applyFont="1"/>
    <xf numFmtId="0" fontId="8" fillId="0" borderId="1" xfId="0" applyFont="1" applyBorder="1"/>
    <xf numFmtId="164" fontId="8" fillId="0" borderId="1" xfId="0" applyNumberFormat="1" applyFont="1" applyBorder="1"/>
    <xf numFmtId="0" fontId="8" fillId="0" borderId="2" xfId="0" applyFont="1" applyBorder="1"/>
    <xf numFmtId="164" fontId="8" fillId="0" borderId="2" xfId="1" applyNumberFormat="1" applyFont="1" applyBorder="1"/>
    <xf numFmtId="0" fontId="8" fillId="4" borderId="1" xfId="0" applyFont="1" applyFill="1" applyBorder="1"/>
    <xf numFmtId="164" fontId="8" fillId="4" borderId="1" xfId="1" applyNumberFormat="1" applyFont="1" applyFill="1" applyBorder="1"/>
    <xf numFmtId="0" fontId="2" fillId="4" borderId="1" xfId="0" applyFont="1" applyFill="1" applyBorder="1" applyAlignment="1">
      <alignment horizontal="center"/>
    </xf>
    <xf numFmtId="0" fontId="2" fillId="4" borderId="1" xfId="0" applyFont="1" applyFill="1" applyBorder="1"/>
    <xf numFmtId="0" fontId="6" fillId="4" borderId="1" xfId="0" applyFont="1" applyFill="1" applyBorder="1" applyAlignment="1">
      <alignment horizontal="center"/>
    </xf>
    <xf numFmtId="0" fontId="6" fillId="4" borderId="1" xfId="0" applyFont="1" applyFill="1" applyBorder="1"/>
    <xf numFmtId="0" fontId="7" fillId="4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7" fillId="4" borderId="1" xfId="0" applyFont="1" applyFill="1" applyBorder="1"/>
    <xf numFmtId="1" fontId="5" fillId="0" borderId="3" xfId="0" applyNumberFormat="1" applyFont="1" applyFill="1" applyBorder="1" applyAlignment="1">
      <alignment horizontal="right" vertical="top" shrinkToFit="1"/>
    </xf>
    <xf numFmtId="1" fontId="5" fillId="3" borderId="3" xfId="0" applyNumberFormat="1" applyFont="1" applyFill="1" applyBorder="1" applyAlignment="1">
      <alignment horizontal="right" vertical="top" shrinkToFit="1"/>
    </xf>
    <xf numFmtId="0" fontId="0" fillId="0" borderId="0" xfId="0" applyFill="1" applyBorder="1" applyAlignment="1">
      <alignment horizontal="left" wrapText="1"/>
    </xf>
    <xf numFmtId="0" fontId="3" fillId="0" borderId="1" xfId="0" applyFont="1" applyFill="1" applyBorder="1" applyAlignment="1">
      <alignment horizontal="left" vertical="top" wrapText="1"/>
    </xf>
    <xf numFmtId="0" fontId="4" fillId="3" borderId="4" xfId="0" applyFont="1" applyFill="1" applyBorder="1" applyAlignment="1">
      <alignment vertical="top" wrapText="1"/>
    </xf>
    <xf numFmtId="0" fontId="4" fillId="0" borderId="4" xfId="0" applyFont="1" applyFill="1" applyBorder="1" applyAlignment="1">
      <alignment vertical="top" wrapText="1"/>
    </xf>
    <xf numFmtId="0" fontId="3" fillId="2" borderId="4" xfId="0" applyFont="1" applyFill="1" applyBorder="1" applyAlignment="1">
      <alignment vertical="top" wrapText="1"/>
    </xf>
    <xf numFmtId="0" fontId="3" fillId="0" borderId="0" xfId="0" applyFont="1" applyFill="1" applyBorder="1" applyAlignment="1">
      <alignment horizontal="left" vertical="top" wrapText="1"/>
    </xf>
    <xf numFmtId="165" fontId="5" fillId="0" borderId="0" xfId="0" applyNumberFormat="1" applyFont="1" applyFill="1" applyBorder="1" applyAlignment="1">
      <alignment horizontal="right" vertical="top" shrinkToFit="1"/>
    </xf>
    <xf numFmtId="0" fontId="0" fillId="0" borderId="0" xfId="0" applyFill="1" applyBorder="1"/>
    <xf numFmtId="14" fontId="3" fillId="2" borderId="4" xfId="0" applyNumberFormat="1" applyFont="1" applyFill="1" applyBorder="1" applyAlignment="1">
      <alignment horizontal="left" vertical="top" wrapText="1"/>
    </xf>
    <xf numFmtId="14" fontId="5" fillId="0" borderId="4" xfId="0" applyNumberFormat="1" applyFont="1" applyFill="1" applyBorder="1" applyAlignment="1">
      <alignment horizontal="right" vertical="top" shrinkToFit="1"/>
    </xf>
    <xf numFmtId="14" fontId="5" fillId="3" borderId="4" xfId="0" applyNumberFormat="1" applyFont="1" applyFill="1" applyBorder="1" applyAlignment="1">
      <alignment horizontal="right" vertical="top" shrinkToFit="1"/>
    </xf>
    <xf numFmtId="14" fontId="0" fillId="0" borderId="0" xfId="0" applyNumberFormat="1"/>
    <xf numFmtId="172" fontId="3" fillId="2" borderId="3" xfId="1" applyNumberFormat="1" applyFont="1" applyFill="1" applyBorder="1" applyAlignment="1">
      <alignment horizontal="left" vertical="top" wrapText="1"/>
    </xf>
    <xf numFmtId="172" fontId="5" fillId="0" borderId="3" xfId="1" applyNumberFormat="1" applyFont="1" applyFill="1" applyBorder="1" applyAlignment="1">
      <alignment horizontal="right" vertical="top" shrinkToFit="1"/>
    </xf>
    <xf numFmtId="172" fontId="5" fillId="3" borderId="3" xfId="1" applyNumberFormat="1" applyFont="1" applyFill="1" applyBorder="1" applyAlignment="1">
      <alignment horizontal="right" vertical="top" shrinkToFit="1"/>
    </xf>
    <xf numFmtId="172" fontId="0" fillId="0" borderId="0" xfId="1" applyNumberFormat="1" applyFont="1"/>
    <xf numFmtId="14" fontId="3" fillId="2" borderId="5" xfId="0" applyNumberFormat="1" applyFont="1" applyFill="1" applyBorder="1" applyAlignment="1">
      <alignment horizontal="left" vertical="top" wrapText="1"/>
    </xf>
    <xf numFmtId="166" fontId="5" fillId="0" borderId="0" xfId="0" applyNumberFormat="1" applyFont="1" applyFill="1" applyBorder="1" applyAlignment="1">
      <alignment horizontal="right" vertical="top" shrinkToFit="1"/>
    </xf>
    <xf numFmtId="0" fontId="3" fillId="2" borderId="6" xfId="0" applyFont="1" applyFill="1" applyBorder="1" applyAlignment="1">
      <alignment horizontal="left" vertical="top" wrapText="1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DBA89-7C5C-48F8-80FE-D698F0D76128}">
  <sheetPr>
    <tabColor theme="7" tint="0.39997558519241921"/>
  </sheetPr>
  <dimension ref="B2:S56"/>
  <sheetViews>
    <sheetView workbookViewId="0">
      <selection activeCell="A6" sqref="A6"/>
    </sheetView>
  </sheetViews>
  <sheetFormatPr defaultRowHeight="15" x14ac:dyDescent="0.25"/>
  <cols>
    <col min="1" max="8" width="9.140625" style="18"/>
    <col min="9" max="9" width="12" style="18" bestFit="1" customWidth="1"/>
    <col min="10" max="16384" width="9.140625" style="18"/>
  </cols>
  <sheetData>
    <row r="2" spans="2:19" ht="15.75" x14ac:dyDescent="0.25">
      <c r="B2" s="27" t="s">
        <v>0</v>
      </c>
      <c r="C2" s="27"/>
      <c r="E2" s="27" t="s">
        <v>3</v>
      </c>
      <c r="F2" s="27"/>
      <c r="H2" s="27" t="s">
        <v>4</v>
      </c>
      <c r="I2" s="27"/>
      <c r="K2" s="27" t="s">
        <v>5</v>
      </c>
      <c r="L2" s="27"/>
      <c r="M2" s="27"/>
      <c r="O2" s="27" t="s">
        <v>7</v>
      </c>
      <c r="P2" s="27"/>
      <c r="R2" s="29" t="s">
        <v>8</v>
      </c>
      <c r="S2" s="29"/>
    </row>
    <row r="3" spans="2:19" ht="15.75" x14ac:dyDescent="0.25">
      <c r="B3" s="28" t="s">
        <v>1</v>
      </c>
      <c r="C3" s="28" t="s">
        <v>2</v>
      </c>
      <c r="E3" s="28" t="s">
        <v>1</v>
      </c>
      <c r="F3" s="28" t="s">
        <v>2</v>
      </c>
      <c r="H3" s="28" t="s">
        <v>1</v>
      </c>
      <c r="I3" s="28" t="s">
        <v>2</v>
      </c>
      <c r="K3" s="28" t="s">
        <v>1</v>
      </c>
      <c r="L3" s="28" t="s">
        <v>5</v>
      </c>
      <c r="M3" s="28" t="s">
        <v>2</v>
      </c>
      <c r="O3" s="28" t="s">
        <v>1</v>
      </c>
      <c r="P3" s="28" t="s">
        <v>2</v>
      </c>
      <c r="R3" s="31" t="s">
        <v>1</v>
      </c>
      <c r="S3" s="31" t="s">
        <v>2</v>
      </c>
    </row>
    <row r="4" spans="2:19" ht="15.75" x14ac:dyDescent="0.25">
      <c r="B4" s="28">
        <v>58</v>
      </c>
      <c r="C4" s="28">
        <f>EVEN(B4)</f>
        <v>58</v>
      </c>
      <c r="E4" s="28">
        <v>58</v>
      </c>
      <c r="F4" s="28">
        <f>ODD(E4)</f>
        <v>59</v>
      </c>
      <c r="H4" s="28">
        <v>4</v>
      </c>
      <c r="I4" s="28">
        <f>FACT(H4:H18)</f>
        <v>24</v>
      </c>
      <c r="K4" s="28">
        <v>4</v>
      </c>
      <c r="L4" s="28">
        <v>2</v>
      </c>
      <c r="M4" s="28">
        <f>POWER(K4,L4)</f>
        <v>16</v>
      </c>
      <c r="O4" s="28">
        <v>4</v>
      </c>
      <c r="P4" s="28">
        <f>SQRT(O4:O18)</f>
        <v>2</v>
      </c>
      <c r="R4" s="31">
        <v>58</v>
      </c>
      <c r="S4" s="31" t="str">
        <f>ROMAN(R4)</f>
        <v>LVIII</v>
      </c>
    </row>
    <row r="5" spans="2:19" ht="15.75" x14ac:dyDescent="0.25">
      <c r="B5" s="28">
        <v>86</v>
      </c>
      <c r="C5" s="28">
        <f t="shared" ref="C5:C18" si="0">EVEN(B5)</f>
        <v>86</v>
      </c>
      <c r="E5" s="28">
        <v>86</v>
      </c>
      <c r="F5" s="28">
        <f t="shared" ref="F5:F18" si="1">ODD(E5)</f>
        <v>87</v>
      </c>
      <c r="H5" s="28">
        <v>3</v>
      </c>
      <c r="I5" s="28">
        <f t="shared" ref="I5:I9" si="2">FACT(H5:H19)</f>
        <v>6</v>
      </c>
      <c r="K5" s="28">
        <v>3</v>
      </c>
      <c r="L5" s="28">
        <v>3</v>
      </c>
      <c r="M5" s="28">
        <f t="shared" ref="M5:M18" si="3">POWER(K5,L5)</f>
        <v>27</v>
      </c>
      <c r="O5" s="28">
        <v>3</v>
      </c>
      <c r="P5" s="28">
        <f t="shared" ref="P5:P9" si="4">SQRT(O5:O19)</f>
        <v>1.7320508075688772</v>
      </c>
      <c r="R5" s="31">
        <v>86</v>
      </c>
      <c r="S5" s="31" t="str">
        <f t="shared" ref="S5:S18" si="5">ROMAN(R5)</f>
        <v>LXXXVI</v>
      </c>
    </row>
    <row r="6" spans="2:19" ht="15.75" x14ac:dyDescent="0.25">
      <c r="B6" s="28">
        <v>55</v>
      </c>
      <c r="C6" s="28">
        <f t="shared" si="0"/>
        <v>56</v>
      </c>
      <c r="E6" s="28">
        <v>55</v>
      </c>
      <c r="F6" s="28">
        <f t="shared" si="1"/>
        <v>55</v>
      </c>
      <c r="H6" s="28">
        <v>5</v>
      </c>
      <c r="I6" s="28">
        <f t="shared" si="2"/>
        <v>120</v>
      </c>
      <c r="K6" s="28">
        <v>5</v>
      </c>
      <c r="L6" s="28">
        <v>4</v>
      </c>
      <c r="M6" s="28">
        <f t="shared" si="3"/>
        <v>625</v>
      </c>
      <c r="O6" s="28">
        <v>5</v>
      </c>
      <c r="P6" s="28">
        <f t="shared" si="4"/>
        <v>2.2360679774997898</v>
      </c>
      <c r="R6" s="31">
        <v>55</v>
      </c>
      <c r="S6" s="31" t="str">
        <f t="shared" si="5"/>
        <v>LV</v>
      </c>
    </row>
    <row r="7" spans="2:19" ht="15.75" x14ac:dyDescent="0.25">
      <c r="B7" s="28">
        <v>74</v>
      </c>
      <c r="C7" s="28">
        <f t="shared" si="0"/>
        <v>74</v>
      </c>
      <c r="E7" s="28">
        <v>74</v>
      </c>
      <c r="F7" s="28">
        <f t="shared" si="1"/>
        <v>75</v>
      </c>
      <c r="H7" s="28">
        <v>7</v>
      </c>
      <c r="I7" s="28">
        <f t="shared" si="2"/>
        <v>5040</v>
      </c>
      <c r="K7" s="28">
        <v>7</v>
      </c>
      <c r="L7" s="28">
        <v>5</v>
      </c>
      <c r="M7" s="28">
        <f t="shared" si="3"/>
        <v>16807</v>
      </c>
      <c r="O7" s="28">
        <v>7</v>
      </c>
      <c r="P7" s="28">
        <f t="shared" si="4"/>
        <v>2.6457513110645907</v>
      </c>
      <c r="R7" s="31">
        <v>74</v>
      </c>
      <c r="S7" s="31" t="str">
        <f t="shared" si="5"/>
        <v>LXXIV</v>
      </c>
    </row>
    <row r="8" spans="2:19" ht="15.75" x14ac:dyDescent="0.25">
      <c r="B8" s="28">
        <v>88</v>
      </c>
      <c r="C8" s="28">
        <f t="shared" si="0"/>
        <v>88</v>
      </c>
      <c r="E8" s="28">
        <v>88</v>
      </c>
      <c r="F8" s="28">
        <f t="shared" si="1"/>
        <v>89</v>
      </c>
      <c r="H8" s="28">
        <v>3</v>
      </c>
      <c r="I8" s="28">
        <f t="shared" si="2"/>
        <v>6</v>
      </c>
      <c r="K8" s="28">
        <v>3</v>
      </c>
      <c r="L8" s="28">
        <v>1</v>
      </c>
      <c r="M8" s="28">
        <f t="shared" si="3"/>
        <v>3</v>
      </c>
      <c r="O8" s="28">
        <v>3</v>
      </c>
      <c r="P8" s="28">
        <f t="shared" si="4"/>
        <v>1.7320508075688772</v>
      </c>
      <c r="R8" s="31">
        <v>88</v>
      </c>
      <c r="S8" s="31" t="str">
        <f t="shared" si="5"/>
        <v>LXXXVIII</v>
      </c>
    </row>
    <row r="9" spans="2:19" ht="15.75" x14ac:dyDescent="0.25">
      <c r="B9" s="28">
        <v>60</v>
      </c>
      <c r="C9" s="28">
        <f t="shared" si="0"/>
        <v>60</v>
      </c>
      <c r="E9" s="28">
        <v>60</v>
      </c>
      <c r="F9" s="28">
        <f t="shared" si="1"/>
        <v>61</v>
      </c>
      <c r="H9" s="28">
        <v>2</v>
      </c>
      <c r="I9" s="28">
        <f t="shared" si="2"/>
        <v>2</v>
      </c>
      <c r="K9" s="28">
        <v>2</v>
      </c>
      <c r="L9" s="28">
        <v>2</v>
      </c>
      <c r="M9" s="28">
        <f t="shared" si="3"/>
        <v>4</v>
      </c>
      <c r="O9" s="28">
        <v>2</v>
      </c>
      <c r="P9" s="28">
        <f t="shared" si="4"/>
        <v>1.4142135623730951</v>
      </c>
      <c r="R9" s="31">
        <v>60</v>
      </c>
      <c r="S9" s="31" t="str">
        <f t="shared" si="5"/>
        <v>LX</v>
      </c>
    </row>
    <row r="10" spans="2:19" ht="15.75" x14ac:dyDescent="0.25">
      <c r="B10" s="28">
        <v>55</v>
      </c>
      <c r="C10" s="28">
        <f t="shared" si="0"/>
        <v>56</v>
      </c>
      <c r="E10" s="28">
        <v>55</v>
      </c>
      <c r="F10" s="28">
        <f t="shared" si="1"/>
        <v>55</v>
      </c>
      <c r="H10" s="28">
        <v>3</v>
      </c>
      <c r="I10" s="28">
        <f>FACT(H10:H23)</f>
        <v>6</v>
      </c>
      <c r="K10" s="28">
        <v>3</v>
      </c>
      <c r="L10" s="28">
        <v>3</v>
      </c>
      <c r="M10" s="28">
        <f t="shared" si="3"/>
        <v>27</v>
      </c>
      <c r="O10" s="28">
        <v>3</v>
      </c>
      <c r="P10" s="28">
        <f>SQRT(O10:O23)</f>
        <v>1.7320508075688772</v>
      </c>
      <c r="R10" s="31">
        <v>55</v>
      </c>
      <c r="S10" s="31" t="str">
        <f t="shared" si="5"/>
        <v>LV</v>
      </c>
    </row>
    <row r="11" spans="2:19" ht="15.75" x14ac:dyDescent="0.25">
      <c r="B11" s="28">
        <v>84</v>
      </c>
      <c r="C11" s="28">
        <f t="shared" si="0"/>
        <v>84</v>
      </c>
      <c r="E11" s="28">
        <v>84</v>
      </c>
      <c r="F11" s="28">
        <f t="shared" si="1"/>
        <v>85</v>
      </c>
      <c r="H11" s="28">
        <v>2</v>
      </c>
      <c r="I11" s="28">
        <f>FACT(H11:H24)</f>
        <v>2</v>
      </c>
      <c r="K11" s="28">
        <v>2</v>
      </c>
      <c r="L11" s="28">
        <v>4</v>
      </c>
      <c r="M11" s="28">
        <f t="shared" si="3"/>
        <v>16</v>
      </c>
      <c r="O11" s="28">
        <v>2</v>
      </c>
      <c r="P11" s="28">
        <f>SQRT(O11:O24)</f>
        <v>1.4142135623730951</v>
      </c>
      <c r="R11" s="31">
        <v>84</v>
      </c>
      <c r="S11" s="31" t="str">
        <f t="shared" si="5"/>
        <v>LXXXIV</v>
      </c>
    </row>
    <row r="12" spans="2:19" ht="15.75" x14ac:dyDescent="0.25">
      <c r="B12" s="28">
        <v>57</v>
      </c>
      <c r="C12" s="28">
        <f t="shared" si="0"/>
        <v>58</v>
      </c>
      <c r="E12" s="28">
        <v>57</v>
      </c>
      <c r="F12" s="28">
        <f t="shared" si="1"/>
        <v>57</v>
      </c>
      <c r="H12" s="28">
        <v>9</v>
      </c>
      <c r="I12" s="28">
        <f t="shared" ref="I12:I18" si="6">FACT(H12:H24)</f>
        <v>362880</v>
      </c>
      <c r="K12" s="28">
        <v>9</v>
      </c>
      <c r="L12" s="28">
        <v>5</v>
      </c>
      <c r="M12" s="28">
        <f t="shared" si="3"/>
        <v>59049</v>
      </c>
      <c r="O12" s="28">
        <v>9</v>
      </c>
      <c r="P12" s="28">
        <f t="shared" ref="P12:P18" si="7">SQRT(O12:O24)</f>
        <v>3</v>
      </c>
      <c r="R12" s="31">
        <v>57</v>
      </c>
      <c r="S12" s="31" t="str">
        <f t="shared" si="5"/>
        <v>LVII</v>
      </c>
    </row>
    <row r="13" spans="2:19" ht="15.75" x14ac:dyDescent="0.25">
      <c r="B13" s="28">
        <v>82</v>
      </c>
      <c r="C13" s="28">
        <f t="shared" si="0"/>
        <v>82</v>
      </c>
      <c r="E13" s="28">
        <v>82</v>
      </c>
      <c r="F13" s="28">
        <f t="shared" si="1"/>
        <v>83</v>
      </c>
      <c r="H13" s="28">
        <v>2</v>
      </c>
      <c r="I13" s="28">
        <f t="shared" si="6"/>
        <v>2</v>
      </c>
      <c r="K13" s="28">
        <v>2</v>
      </c>
      <c r="L13" s="28">
        <v>1</v>
      </c>
      <c r="M13" s="28">
        <f t="shared" si="3"/>
        <v>2</v>
      </c>
      <c r="O13" s="28">
        <v>2</v>
      </c>
      <c r="P13" s="28">
        <f t="shared" si="7"/>
        <v>1.4142135623730951</v>
      </c>
      <c r="R13" s="31">
        <v>82</v>
      </c>
      <c r="S13" s="31" t="str">
        <f t="shared" si="5"/>
        <v>LXXXII</v>
      </c>
    </row>
    <row r="14" spans="2:19" ht="15.75" x14ac:dyDescent="0.25">
      <c r="B14" s="28">
        <v>81</v>
      </c>
      <c r="C14" s="28">
        <f t="shared" si="0"/>
        <v>82</v>
      </c>
      <c r="E14" s="28">
        <v>81</v>
      </c>
      <c r="F14" s="28">
        <f t="shared" si="1"/>
        <v>81</v>
      </c>
      <c r="H14" s="28">
        <v>2</v>
      </c>
      <c r="I14" s="28">
        <f t="shared" si="6"/>
        <v>2</v>
      </c>
      <c r="K14" s="28">
        <v>2</v>
      </c>
      <c r="L14" s="28">
        <v>2</v>
      </c>
      <c r="M14" s="28">
        <f t="shared" si="3"/>
        <v>4</v>
      </c>
      <c r="O14" s="28">
        <v>2</v>
      </c>
      <c r="P14" s="28">
        <f t="shared" si="7"/>
        <v>1.4142135623730951</v>
      </c>
      <c r="R14" s="31">
        <v>81</v>
      </c>
      <c r="S14" s="31" t="str">
        <f t="shared" si="5"/>
        <v>LXXXI</v>
      </c>
    </row>
    <row r="15" spans="2:19" ht="15.75" x14ac:dyDescent="0.25">
      <c r="B15" s="28">
        <v>67</v>
      </c>
      <c r="C15" s="28">
        <f t="shared" si="0"/>
        <v>68</v>
      </c>
      <c r="E15" s="28">
        <v>67</v>
      </c>
      <c r="F15" s="28">
        <f t="shared" si="1"/>
        <v>67</v>
      </c>
      <c r="H15" s="28">
        <v>2</v>
      </c>
      <c r="I15" s="28">
        <f t="shared" si="6"/>
        <v>2</v>
      </c>
      <c r="K15" s="28">
        <v>2</v>
      </c>
      <c r="L15" s="28">
        <v>3</v>
      </c>
      <c r="M15" s="28">
        <f t="shared" si="3"/>
        <v>8</v>
      </c>
      <c r="O15" s="28">
        <v>2</v>
      </c>
      <c r="P15" s="28">
        <f t="shared" si="7"/>
        <v>1.4142135623730951</v>
      </c>
      <c r="R15" s="31">
        <v>67</v>
      </c>
      <c r="S15" s="31" t="str">
        <f t="shared" si="5"/>
        <v>LXVII</v>
      </c>
    </row>
    <row r="16" spans="2:19" ht="15.75" x14ac:dyDescent="0.25">
      <c r="B16" s="28">
        <v>55</v>
      </c>
      <c r="C16" s="28">
        <f t="shared" si="0"/>
        <v>56</v>
      </c>
      <c r="E16" s="28">
        <v>55</v>
      </c>
      <c r="F16" s="28">
        <f t="shared" si="1"/>
        <v>55</v>
      </c>
      <c r="H16" s="28">
        <v>5</v>
      </c>
      <c r="I16" s="28">
        <f t="shared" si="6"/>
        <v>120</v>
      </c>
      <c r="K16" s="28">
        <v>5</v>
      </c>
      <c r="L16" s="28">
        <v>4</v>
      </c>
      <c r="M16" s="28">
        <f t="shared" si="3"/>
        <v>625</v>
      </c>
      <c r="O16" s="28">
        <v>5</v>
      </c>
      <c r="P16" s="28">
        <f t="shared" si="7"/>
        <v>2.2360679774997898</v>
      </c>
      <c r="R16" s="31">
        <v>55</v>
      </c>
      <c r="S16" s="31" t="str">
        <f t="shared" si="5"/>
        <v>LV</v>
      </c>
    </row>
    <row r="17" spans="2:19" ht="15.75" x14ac:dyDescent="0.25">
      <c r="B17" s="28">
        <v>81</v>
      </c>
      <c r="C17" s="28">
        <f t="shared" si="0"/>
        <v>82</v>
      </c>
      <c r="E17" s="28">
        <v>81</v>
      </c>
      <c r="F17" s="28">
        <f t="shared" si="1"/>
        <v>81</v>
      </c>
      <c r="H17" s="28">
        <v>4</v>
      </c>
      <c r="I17" s="28">
        <f t="shared" si="6"/>
        <v>24</v>
      </c>
      <c r="K17" s="28">
        <v>4</v>
      </c>
      <c r="L17" s="28">
        <v>5</v>
      </c>
      <c r="M17" s="28">
        <f t="shared" si="3"/>
        <v>1024</v>
      </c>
      <c r="O17" s="28">
        <v>4</v>
      </c>
      <c r="P17" s="28">
        <f t="shared" si="7"/>
        <v>2</v>
      </c>
      <c r="R17" s="31">
        <v>81</v>
      </c>
      <c r="S17" s="31" t="str">
        <f t="shared" si="5"/>
        <v>LXXXI</v>
      </c>
    </row>
    <row r="18" spans="2:19" ht="15.75" x14ac:dyDescent="0.25">
      <c r="B18" s="28">
        <v>82</v>
      </c>
      <c r="C18" s="28">
        <f t="shared" si="0"/>
        <v>82</v>
      </c>
      <c r="E18" s="28">
        <v>82</v>
      </c>
      <c r="F18" s="28">
        <f t="shared" si="1"/>
        <v>83</v>
      </c>
      <c r="H18" s="28">
        <v>8</v>
      </c>
      <c r="I18" s="28">
        <f t="shared" si="6"/>
        <v>40320</v>
      </c>
      <c r="K18" s="28">
        <v>8</v>
      </c>
      <c r="L18" s="28">
        <v>6</v>
      </c>
      <c r="M18" s="28">
        <f t="shared" si="3"/>
        <v>262144</v>
      </c>
      <c r="O18" s="28">
        <v>8</v>
      </c>
      <c r="P18" s="28">
        <f t="shared" si="7"/>
        <v>2.8284271247461903</v>
      </c>
      <c r="R18" s="31">
        <v>82</v>
      </c>
      <c r="S18" s="31" t="str">
        <f t="shared" si="5"/>
        <v>LXXXII</v>
      </c>
    </row>
    <row r="19" spans="2:19" ht="15.75" x14ac:dyDescent="0.25">
      <c r="K19" s="28"/>
      <c r="L19" s="28" t="s">
        <v>6</v>
      </c>
      <c r="M19" s="28"/>
    </row>
    <row r="21" spans="2:19" ht="15.75" x14ac:dyDescent="0.25">
      <c r="B21" s="27" t="s">
        <v>9</v>
      </c>
      <c r="C21" s="27"/>
      <c r="E21" s="27" t="s">
        <v>10</v>
      </c>
      <c r="F21" s="27"/>
      <c r="G21" s="27"/>
      <c r="I21" s="27" t="s">
        <v>20</v>
      </c>
      <c r="J21" s="27"/>
      <c r="K21" s="27"/>
      <c r="M21" s="27" t="s">
        <v>21</v>
      </c>
      <c r="N21" s="27"/>
      <c r="O21" s="27"/>
      <c r="Q21" s="27" t="s">
        <v>24</v>
      </c>
      <c r="R21" s="27"/>
    </row>
    <row r="22" spans="2:19" ht="15.75" x14ac:dyDescent="0.25">
      <c r="B22" s="28" t="s">
        <v>1</v>
      </c>
      <c r="C22" s="28" t="s">
        <v>2</v>
      </c>
      <c r="E22" s="28" t="s">
        <v>1</v>
      </c>
      <c r="F22" s="28" t="s">
        <v>5</v>
      </c>
      <c r="G22" s="28" t="s">
        <v>2</v>
      </c>
      <c r="I22" s="28" t="s">
        <v>17</v>
      </c>
      <c r="J22" s="28" t="s">
        <v>18</v>
      </c>
      <c r="K22" s="28" t="s">
        <v>2</v>
      </c>
      <c r="M22" s="28" t="s">
        <v>1</v>
      </c>
      <c r="N22" s="28" t="s">
        <v>22</v>
      </c>
      <c r="O22" s="28" t="s">
        <v>23</v>
      </c>
      <c r="Q22" s="28" t="s">
        <v>1</v>
      </c>
      <c r="R22" s="28" t="s">
        <v>25</v>
      </c>
    </row>
    <row r="23" spans="2:19" ht="15.75" x14ac:dyDescent="0.25">
      <c r="B23" s="28">
        <v>58</v>
      </c>
      <c r="C23" s="28"/>
      <c r="E23" s="28">
        <v>4</v>
      </c>
      <c r="F23" s="28">
        <v>2</v>
      </c>
      <c r="G23" s="28">
        <f>SUMSQ(E23,F23)</f>
        <v>20</v>
      </c>
      <c r="I23" s="28" t="s">
        <v>11</v>
      </c>
      <c r="J23" s="28">
        <v>21948</v>
      </c>
      <c r="K23" s="28"/>
      <c r="M23" s="28">
        <v>4</v>
      </c>
      <c r="N23" s="28">
        <v>2</v>
      </c>
      <c r="O23" s="28">
        <f>MOD(M23,N23)</f>
        <v>0</v>
      </c>
      <c r="Q23" s="28">
        <v>2.55566</v>
      </c>
      <c r="R23" s="28">
        <f>ROUND(Q23,2)</f>
        <v>2.56</v>
      </c>
    </row>
    <row r="24" spans="2:19" ht="15.75" x14ac:dyDescent="0.25">
      <c r="B24" s="28">
        <v>55</v>
      </c>
      <c r="C24" s="28"/>
      <c r="E24" s="28">
        <v>3</v>
      </c>
      <c r="F24" s="28">
        <v>3</v>
      </c>
      <c r="G24" s="28">
        <f t="shared" ref="G24:G37" si="8">SUMSQ(E24,F24)</f>
        <v>18</v>
      </c>
      <c r="I24" s="28" t="s">
        <v>12</v>
      </c>
      <c r="J24" s="28">
        <v>17490</v>
      </c>
      <c r="K24" s="28"/>
      <c r="M24" s="28">
        <v>3</v>
      </c>
      <c r="N24" s="28">
        <v>3</v>
      </c>
      <c r="O24" s="28">
        <f t="shared" ref="O24:O37" si="9">MOD(M24,N24)</f>
        <v>0</v>
      </c>
      <c r="Q24" s="28">
        <v>4.2553999999999998</v>
      </c>
      <c r="R24" s="28">
        <f t="shared" ref="R24:R37" si="10">ROUND(Q24,2)</f>
        <v>4.26</v>
      </c>
    </row>
    <row r="25" spans="2:19" ht="15.75" x14ac:dyDescent="0.25">
      <c r="B25" s="28">
        <v>55</v>
      </c>
      <c r="C25" s="28"/>
      <c r="E25" s="28">
        <v>5</v>
      </c>
      <c r="F25" s="28">
        <v>4</v>
      </c>
      <c r="G25" s="28">
        <f t="shared" si="8"/>
        <v>41</v>
      </c>
      <c r="I25" s="28" t="s">
        <v>13</v>
      </c>
      <c r="J25" s="28">
        <v>19095</v>
      </c>
      <c r="K25" s="28" t="s">
        <v>19</v>
      </c>
      <c r="M25" s="28">
        <v>5</v>
      </c>
      <c r="N25" s="28">
        <v>4</v>
      </c>
      <c r="O25" s="28">
        <f t="shared" si="9"/>
        <v>1</v>
      </c>
      <c r="Q25" s="28">
        <v>5.9551400000000001</v>
      </c>
      <c r="R25" s="28">
        <f t="shared" si="10"/>
        <v>5.96</v>
      </c>
    </row>
    <row r="26" spans="2:19" ht="15.75" x14ac:dyDescent="0.25">
      <c r="B26" s="28">
        <v>84</v>
      </c>
      <c r="C26" s="28"/>
      <c r="E26" s="28">
        <v>7</v>
      </c>
      <c r="F26" s="28">
        <v>5</v>
      </c>
      <c r="G26" s="28">
        <f t="shared" si="8"/>
        <v>74</v>
      </c>
      <c r="I26" s="28" t="s">
        <v>14</v>
      </c>
      <c r="J26" s="28">
        <v>19191</v>
      </c>
      <c r="K26" s="28"/>
      <c r="M26" s="28">
        <v>7</v>
      </c>
      <c r="N26" s="28">
        <v>5</v>
      </c>
      <c r="O26" s="28">
        <f t="shared" si="9"/>
        <v>2</v>
      </c>
      <c r="Q26" s="28">
        <v>7.6548800000000004</v>
      </c>
      <c r="R26" s="28">
        <f t="shared" si="10"/>
        <v>7.65</v>
      </c>
    </row>
    <row r="27" spans="2:19" ht="15.75" x14ac:dyDescent="0.25">
      <c r="B27" s="28">
        <v>57</v>
      </c>
      <c r="C27" s="28">
        <f>SUM(B23:B33)</f>
        <v>757</v>
      </c>
      <c r="E27" s="28">
        <v>3</v>
      </c>
      <c r="F27" s="28">
        <v>1</v>
      </c>
      <c r="G27" s="28">
        <f t="shared" si="8"/>
        <v>10</v>
      </c>
      <c r="I27" s="28" t="s">
        <v>15</v>
      </c>
      <c r="J27" s="28">
        <v>15195</v>
      </c>
      <c r="K27" s="28" t="s">
        <v>16</v>
      </c>
      <c r="M27" s="28">
        <v>3</v>
      </c>
      <c r="N27" s="28">
        <v>1</v>
      </c>
      <c r="O27" s="28">
        <f t="shared" si="9"/>
        <v>0</v>
      </c>
      <c r="Q27" s="28">
        <v>9.3546200000000006</v>
      </c>
      <c r="R27" s="28">
        <f t="shared" si="10"/>
        <v>9.35</v>
      </c>
    </row>
    <row r="28" spans="2:19" ht="15.75" x14ac:dyDescent="0.25">
      <c r="B28" s="28">
        <v>82</v>
      </c>
      <c r="C28" s="28"/>
      <c r="E28" s="28">
        <v>2</v>
      </c>
      <c r="F28" s="28">
        <v>2</v>
      </c>
      <c r="G28" s="28">
        <f t="shared" si="8"/>
        <v>8</v>
      </c>
      <c r="I28" s="28" t="s">
        <v>12</v>
      </c>
      <c r="J28" s="28">
        <v>19479</v>
      </c>
      <c r="K28" s="28">
        <f>SUMIF(I23:I31,K27,J23:J31)</f>
        <v>16432</v>
      </c>
      <c r="M28" s="28">
        <v>2</v>
      </c>
      <c r="N28" s="28">
        <v>2</v>
      </c>
      <c r="O28" s="28">
        <f t="shared" si="9"/>
        <v>0</v>
      </c>
      <c r="Q28" s="28">
        <v>11.054360000000001</v>
      </c>
      <c r="R28" s="28">
        <f t="shared" si="10"/>
        <v>11.05</v>
      </c>
    </row>
    <row r="29" spans="2:19" ht="15.75" x14ac:dyDescent="0.25">
      <c r="B29" s="28">
        <v>81</v>
      </c>
      <c r="C29" s="28"/>
      <c r="E29" s="28">
        <v>3</v>
      </c>
      <c r="F29" s="28">
        <v>3</v>
      </c>
      <c r="G29" s="28">
        <f t="shared" si="8"/>
        <v>18</v>
      </c>
      <c r="I29" s="28" t="s">
        <v>16</v>
      </c>
      <c r="J29" s="28">
        <v>16432</v>
      </c>
      <c r="K29" s="28"/>
      <c r="M29" s="28">
        <v>3</v>
      </c>
      <c r="N29" s="28">
        <v>3</v>
      </c>
      <c r="O29" s="28">
        <f t="shared" si="9"/>
        <v>0</v>
      </c>
      <c r="Q29" s="28">
        <v>12.754099999999999</v>
      </c>
      <c r="R29" s="28">
        <f t="shared" si="10"/>
        <v>12.75</v>
      </c>
    </row>
    <row r="30" spans="2:19" ht="15.75" x14ac:dyDescent="0.25">
      <c r="B30" s="28">
        <v>67</v>
      </c>
      <c r="C30" s="28"/>
      <c r="E30" s="28">
        <v>2</v>
      </c>
      <c r="F30" s="28">
        <v>4</v>
      </c>
      <c r="G30" s="28">
        <f t="shared" si="8"/>
        <v>20</v>
      </c>
      <c r="I30" s="28" t="s">
        <v>11</v>
      </c>
      <c r="J30" s="28">
        <v>10102</v>
      </c>
      <c r="K30" s="28" t="s">
        <v>17</v>
      </c>
      <c r="M30" s="28">
        <v>2</v>
      </c>
      <c r="N30" s="28">
        <v>4</v>
      </c>
      <c r="O30" s="28">
        <f t="shared" si="9"/>
        <v>2</v>
      </c>
      <c r="Q30" s="28">
        <v>14.45384</v>
      </c>
      <c r="R30" s="28">
        <f t="shared" si="10"/>
        <v>14.45</v>
      </c>
    </row>
    <row r="31" spans="2:19" ht="15.75" x14ac:dyDescent="0.25">
      <c r="B31" s="28">
        <v>55</v>
      </c>
      <c r="C31" s="28"/>
      <c r="E31" s="28">
        <v>9</v>
      </c>
      <c r="F31" s="28">
        <v>5</v>
      </c>
      <c r="G31" s="28">
        <f t="shared" si="8"/>
        <v>106</v>
      </c>
      <c r="I31" s="28" t="s">
        <v>13</v>
      </c>
      <c r="J31" s="28">
        <v>12336</v>
      </c>
      <c r="K31" s="28"/>
      <c r="M31" s="28">
        <v>9</v>
      </c>
      <c r="N31" s="28">
        <v>5</v>
      </c>
      <c r="O31" s="28">
        <f t="shared" si="9"/>
        <v>4</v>
      </c>
      <c r="Q31" s="28">
        <v>16.153580000000002</v>
      </c>
      <c r="R31" s="28">
        <f t="shared" si="10"/>
        <v>16.149999999999999</v>
      </c>
    </row>
    <row r="32" spans="2:19" ht="15.75" x14ac:dyDescent="0.25">
      <c r="B32" s="28">
        <v>81</v>
      </c>
      <c r="C32" s="28"/>
      <c r="E32" s="28">
        <v>2</v>
      </c>
      <c r="F32" s="28">
        <v>1</v>
      </c>
      <c r="G32" s="28">
        <f t="shared" si="8"/>
        <v>5</v>
      </c>
      <c r="M32" s="28">
        <v>2</v>
      </c>
      <c r="N32" s="28">
        <v>1</v>
      </c>
      <c r="O32" s="28">
        <f t="shared" si="9"/>
        <v>0</v>
      </c>
      <c r="Q32" s="28">
        <v>17.85332</v>
      </c>
      <c r="R32" s="28">
        <f t="shared" si="10"/>
        <v>17.850000000000001</v>
      </c>
    </row>
    <row r="33" spans="2:18" ht="15.75" x14ac:dyDescent="0.25">
      <c r="B33" s="28">
        <v>82</v>
      </c>
      <c r="C33" s="28"/>
      <c r="E33" s="28">
        <v>2</v>
      </c>
      <c r="F33" s="28">
        <v>2</v>
      </c>
      <c r="G33" s="28">
        <f t="shared" si="8"/>
        <v>8</v>
      </c>
      <c r="M33" s="28">
        <v>2</v>
      </c>
      <c r="N33" s="28">
        <v>2</v>
      </c>
      <c r="O33" s="28">
        <f t="shared" si="9"/>
        <v>0</v>
      </c>
      <c r="Q33" s="28">
        <v>19.553059999999999</v>
      </c>
      <c r="R33" s="28">
        <f t="shared" si="10"/>
        <v>19.55</v>
      </c>
    </row>
    <row r="34" spans="2:18" ht="15.75" x14ac:dyDescent="0.25">
      <c r="E34" s="28">
        <v>2</v>
      </c>
      <c r="F34" s="28">
        <v>3</v>
      </c>
      <c r="G34" s="28">
        <f t="shared" si="8"/>
        <v>13</v>
      </c>
      <c r="M34" s="28">
        <v>2</v>
      </c>
      <c r="N34" s="28">
        <v>3</v>
      </c>
      <c r="O34" s="28">
        <f t="shared" si="9"/>
        <v>2</v>
      </c>
      <c r="Q34" s="28">
        <v>21.252800000000001</v>
      </c>
      <c r="R34" s="28">
        <f t="shared" si="10"/>
        <v>21.25</v>
      </c>
    </row>
    <row r="35" spans="2:18" ht="15.75" x14ac:dyDescent="0.25">
      <c r="E35" s="28">
        <v>5</v>
      </c>
      <c r="F35" s="28">
        <v>4</v>
      </c>
      <c r="G35" s="28">
        <f t="shared" si="8"/>
        <v>41</v>
      </c>
      <c r="M35" s="28">
        <v>5</v>
      </c>
      <c r="N35" s="28">
        <v>4</v>
      </c>
      <c r="O35" s="28">
        <f t="shared" si="9"/>
        <v>1</v>
      </c>
      <c r="Q35" s="28">
        <v>22.952539999999999</v>
      </c>
      <c r="R35" s="28">
        <f t="shared" si="10"/>
        <v>22.95</v>
      </c>
    </row>
    <row r="36" spans="2:18" ht="15.75" x14ac:dyDescent="0.25">
      <c r="E36" s="28">
        <v>4</v>
      </c>
      <c r="F36" s="28">
        <v>5</v>
      </c>
      <c r="G36" s="28">
        <f t="shared" si="8"/>
        <v>41</v>
      </c>
      <c r="M36" s="28">
        <v>4</v>
      </c>
      <c r="N36" s="28">
        <v>5</v>
      </c>
      <c r="O36" s="28">
        <f t="shared" si="9"/>
        <v>4</v>
      </c>
      <c r="Q36" s="28">
        <v>24.652280000000001</v>
      </c>
      <c r="R36" s="28">
        <f t="shared" si="10"/>
        <v>24.65</v>
      </c>
    </row>
    <row r="37" spans="2:18" ht="15.75" x14ac:dyDescent="0.25">
      <c r="E37" s="28">
        <v>8</v>
      </c>
      <c r="F37" s="28">
        <v>6</v>
      </c>
      <c r="G37" s="28">
        <f t="shared" si="8"/>
        <v>100</v>
      </c>
      <c r="M37" s="28">
        <v>8</v>
      </c>
      <c r="N37" s="28">
        <v>6</v>
      </c>
      <c r="O37" s="28">
        <f t="shared" si="9"/>
        <v>2</v>
      </c>
      <c r="Q37" s="28">
        <v>26.35202</v>
      </c>
      <c r="R37" s="28">
        <f t="shared" si="10"/>
        <v>26.35</v>
      </c>
    </row>
    <row r="40" spans="2:18" ht="15.75" x14ac:dyDescent="0.25">
      <c r="E40" s="25" t="s">
        <v>26</v>
      </c>
      <c r="F40" s="25"/>
      <c r="H40" s="30" t="s">
        <v>28</v>
      </c>
      <c r="I40" s="30"/>
    </row>
    <row r="41" spans="2:18" ht="15.75" x14ac:dyDescent="0.25">
      <c r="E41" s="26" t="s">
        <v>1</v>
      </c>
      <c r="F41" s="26" t="s">
        <v>27</v>
      </c>
      <c r="H41" s="27" t="s">
        <v>2</v>
      </c>
      <c r="I41" s="27"/>
    </row>
    <row r="42" spans="2:18" ht="15.75" x14ac:dyDescent="0.25">
      <c r="E42" s="26">
        <v>2.55566</v>
      </c>
      <c r="F42" s="26">
        <f>INT(E42)</f>
        <v>2</v>
      </c>
      <c r="H42" s="27">
        <f>PI()</f>
        <v>3.1415926535897931</v>
      </c>
      <c r="I42" s="27"/>
    </row>
    <row r="43" spans="2:18" x14ac:dyDescent="0.25">
      <c r="E43" s="26">
        <v>4.2553999999999998</v>
      </c>
      <c r="F43" s="26">
        <f t="shared" ref="F43:F56" si="11">INT(E43)</f>
        <v>4</v>
      </c>
    </row>
    <row r="44" spans="2:18" ht="15.75" x14ac:dyDescent="0.25">
      <c r="E44" s="26">
        <v>5.9551400000000001</v>
      </c>
      <c r="F44" s="26">
        <f t="shared" si="11"/>
        <v>5</v>
      </c>
      <c r="H44" s="27" t="s">
        <v>29</v>
      </c>
      <c r="I44" s="27"/>
    </row>
    <row r="45" spans="2:18" ht="15.75" x14ac:dyDescent="0.25">
      <c r="E45" s="26">
        <v>7.6548800000000004</v>
      </c>
      <c r="F45" s="26">
        <f t="shared" si="11"/>
        <v>7</v>
      </c>
      <c r="H45" s="27" t="s">
        <v>2</v>
      </c>
      <c r="I45" s="27"/>
    </row>
    <row r="46" spans="2:18" ht="15.75" x14ac:dyDescent="0.25">
      <c r="E46" s="26">
        <v>9.3546200000000006</v>
      </c>
      <c r="F46" s="26">
        <f t="shared" si="11"/>
        <v>9</v>
      </c>
      <c r="H46" s="27">
        <f ca="1">RAND()</f>
        <v>0.10240550288914874</v>
      </c>
      <c r="I46" s="27"/>
    </row>
    <row r="47" spans="2:18" x14ac:dyDescent="0.25">
      <c r="E47" s="26">
        <v>11.054360000000001</v>
      </c>
      <c r="F47" s="26">
        <f t="shared" si="11"/>
        <v>11</v>
      </c>
      <c r="O47" s="18" t="s">
        <v>31</v>
      </c>
    </row>
    <row r="48" spans="2:18" ht="15.75" x14ac:dyDescent="0.25">
      <c r="E48" s="26">
        <v>12.754099999999999</v>
      </c>
      <c r="F48" s="26">
        <f t="shared" si="11"/>
        <v>12</v>
      </c>
      <c r="H48" s="27" t="s">
        <v>30</v>
      </c>
      <c r="I48" s="27"/>
    </row>
    <row r="49" spans="5:9" ht="15.75" x14ac:dyDescent="0.25">
      <c r="E49" s="26">
        <v>14.45384</v>
      </c>
      <c r="F49" s="26">
        <f t="shared" si="11"/>
        <v>14</v>
      </c>
      <c r="H49" s="27" t="s">
        <v>2</v>
      </c>
      <c r="I49" s="27"/>
    </row>
    <row r="50" spans="5:9" ht="15.75" x14ac:dyDescent="0.25">
      <c r="E50" s="26">
        <v>16.153580000000002</v>
      </c>
      <c r="F50" s="26">
        <f t="shared" si="11"/>
        <v>16</v>
      </c>
      <c r="H50" s="27">
        <f ca="1">RANDBETWEEN(1,100)</f>
        <v>52</v>
      </c>
      <c r="I50" s="27"/>
    </row>
    <row r="51" spans="5:9" x14ac:dyDescent="0.25">
      <c r="E51" s="26">
        <v>17.85332</v>
      </c>
      <c r="F51" s="26">
        <f t="shared" si="11"/>
        <v>17</v>
      </c>
    </row>
    <row r="52" spans="5:9" x14ac:dyDescent="0.25">
      <c r="E52" s="26">
        <v>19.553059999999999</v>
      </c>
      <c r="F52" s="26">
        <f t="shared" si="11"/>
        <v>19</v>
      </c>
    </row>
    <row r="53" spans="5:9" x14ac:dyDescent="0.25">
      <c r="E53" s="26">
        <v>21.252800000000001</v>
      </c>
      <c r="F53" s="26">
        <f t="shared" si="11"/>
        <v>21</v>
      </c>
    </row>
    <row r="54" spans="5:9" x14ac:dyDescent="0.25">
      <c r="E54" s="26">
        <v>22.952539999999999</v>
      </c>
      <c r="F54" s="26">
        <f t="shared" si="11"/>
        <v>22</v>
      </c>
    </row>
    <row r="55" spans="5:9" x14ac:dyDescent="0.25">
      <c r="E55" s="26">
        <v>24.652280000000001</v>
      </c>
      <c r="F55" s="26">
        <f t="shared" si="11"/>
        <v>24</v>
      </c>
    </row>
    <row r="56" spans="5:9" x14ac:dyDescent="0.25">
      <c r="E56" s="26">
        <v>26.35202</v>
      </c>
      <c r="F56" s="26">
        <f t="shared" si="11"/>
        <v>26</v>
      </c>
    </row>
  </sheetData>
  <mergeCells count="21">
    <mergeCell ref="H48:I48"/>
    <mergeCell ref="H49:I49"/>
    <mergeCell ref="H50:I50"/>
    <mergeCell ref="H41:I41"/>
    <mergeCell ref="H42:I42"/>
    <mergeCell ref="H45:I45"/>
    <mergeCell ref="H46:I46"/>
    <mergeCell ref="H44:I44"/>
    <mergeCell ref="E40:F40"/>
    <mergeCell ref="R2:S2"/>
    <mergeCell ref="B21:C21"/>
    <mergeCell ref="E21:G21"/>
    <mergeCell ref="I21:K21"/>
    <mergeCell ref="M21:O21"/>
    <mergeCell ref="Q21:R21"/>
    <mergeCell ref="B2:C2"/>
    <mergeCell ref="E2:F2"/>
    <mergeCell ref="H2:I2"/>
    <mergeCell ref="K2:M2"/>
    <mergeCell ref="O2:P2"/>
    <mergeCell ref="H40:I40"/>
  </mergeCells>
  <dataValidations count="1">
    <dataValidation type="list" allowBlank="1" showInputMessage="1" showErrorMessage="1" sqref="K30" xr:uid="{9825E29C-0992-4D3A-9200-04072E30F9E4}">
      <formula1>$I$22:$I$31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D2082-3A6C-460E-AC5E-5AE7C98781B1}">
  <dimension ref="A1:F17"/>
  <sheetViews>
    <sheetView workbookViewId="0">
      <selection activeCell="B5" sqref="B5"/>
    </sheetView>
  </sheetViews>
  <sheetFormatPr defaultRowHeight="15" x14ac:dyDescent="0.25"/>
  <cols>
    <col min="1" max="1" width="12.7109375" customWidth="1"/>
    <col min="2" max="2" width="13.140625" customWidth="1"/>
    <col min="5" max="5" width="10.42578125" bestFit="1" customWidth="1"/>
    <col min="6" max="6" width="8" bestFit="1" customWidth="1"/>
  </cols>
  <sheetData>
    <row r="1" spans="1:6" ht="18.75" x14ac:dyDescent="0.3">
      <c r="A1" s="23" t="s">
        <v>32</v>
      </c>
      <c r="B1" s="23" t="s">
        <v>36</v>
      </c>
      <c r="E1" s="23" t="s">
        <v>37</v>
      </c>
      <c r="F1" s="23" t="s">
        <v>33</v>
      </c>
    </row>
    <row r="2" spans="1:6" ht="18.75" x14ac:dyDescent="0.3">
      <c r="A2" s="23" t="s">
        <v>33</v>
      </c>
      <c r="B2" s="24">
        <v>250</v>
      </c>
      <c r="E2" s="23" t="s">
        <v>36</v>
      </c>
      <c r="F2" s="23">
        <f>SUMIF(A2:A17,F1,B2:B17)</f>
        <v>2000</v>
      </c>
    </row>
    <row r="3" spans="1:6" ht="18.75" x14ac:dyDescent="0.3">
      <c r="A3" s="23" t="s">
        <v>34</v>
      </c>
      <c r="B3" s="24">
        <v>150</v>
      </c>
    </row>
    <row r="4" spans="1:6" ht="18.75" x14ac:dyDescent="0.3">
      <c r="A4" s="23" t="s">
        <v>35</v>
      </c>
      <c r="B4" s="24">
        <v>200</v>
      </c>
      <c r="D4" s="19"/>
    </row>
    <row r="5" spans="1:6" ht="18.75" x14ac:dyDescent="0.3">
      <c r="A5" s="23" t="s">
        <v>33</v>
      </c>
      <c r="B5" s="24">
        <v>250</v>
      </c>
    </row>
    <row r="6" spans="1:6" ht="18.75" x14ac:dyDescent="0.3">
      <c r="A6" s="23" t="s">
        <v>33</v>
      </c>
      <c r="B6" s="24">
        <v>250</v>
      </c>
    </row>
    <row r="7" spans="1:6" ht="18.75" x14ac:dyDescent="0.3">
      <c r="A7" s="23" t="s">
        <v>34</v>
      </c>
      <c r="B7" s="24">
        <v>150</v>
      </c>
    </row>
    <row r="8" spans="1:6" ht="18.75" x14ac:dyDescent="0.3">
      <c r="A8" s="23" t="s">
        <v>35</v>
      </c>
      <c r="B8" s="24">
        <v>200</v>
      </c>
    </row>
    <row r="9" spans="1:6" ht="18.75" x14ac:dyDescent="0.3">
      <c r="A9" s="23" t="s">
        <v>33</v>
      </c>
      <c r="B9" s="24">
        <v>250</v>
      </c>
    </row>
    <row r="10" spans="1:6" ht="18.75" x14ac:dyDescent="0.3">
      <c r="A10" s="23" t="s">
        <v>33</v>
      </c>
      <c r="B10" s="24">
        <v>250</v>
      </c>
    </row>
    <row r="11" spans="1:6" ht="18.75" x14ac:dyDescent="0.3">
      <c r="A11" s="23" t="s">
        <v>34</v>
      </c>
      <c r="B11" s="24">
        <v>150</v>
      </c>
    </row>
    <row r="12" spans="1:6" ht="18.75" x14ac:dyDescent="0.3">
      <c r="A12" s="23" t="s">
        <v>35</v>
      </c>
      <c r="B12" s="24">
        <v>200</v>
      </c>
    </row>
    <row r="13" spans="1:6" ht="18.75" x14ac:dyDescent="0.3">
      <c r="A13" s="23" t="s">
        <v>33</v>
      </c>
      <c r="B13" s="24">
        <v>250</v>
      </c>
    </row>
    <row r="14" spans="1:6" ht="18.75" x14ac:dyDescent="0.3">
      <c r="A14" s="23" t="s">
        <v>33</v>
      </c>
      <c r="B14" s="24">
        <v>250</v>
      </c>
    </row>
    <row r="15" spans="1:6" ht="18.75" x14ac:dyDescent="0.3">
      <c r="A15" s="23" t="s">
        <v>34</v>
      </c>
      <c r="B15" s="24">
        <v>150</v>
      </c>
    </row>
    <row r="16" spans="1:6" ht="18.75" x14ac:dyDescent="0.3">
      <c r="A16" s="23" t="s">
        <v>35</v>
      </c>
      <c r="B16" s="24">
        <v>200</v>
      </c>
    </row>
    <row r="17" spans="1:2" ht="18.75" x14ac:dyDescent="0.3">
      <c r="A17" s="23" t="s">
        <v>33</v>
      </c>
      <c r="B17" s="24">
        <v>250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16896-910F-4F12-B0E7-9DC15BE70D08}">
  <dimension ref="A1:E20"/>
  <sheetViews>
    <sheetView workbookViewId="0">
      <selection activeCell="B6" sqref="A4:B20"/>
    </sheetView>
  </sheetViews>
  <sheetFormatPr defaultRowHeight="15" x14ac:dyDescent="0.25"/>
  <cols>
    <col min="1" max="1" width="14.42578125" customWidth="1"/>
    <col min="2" max="2" width="14.28515625" customWidth="1"/>
    <col min="4" max="4" width="32.28515625" bestFit="1" customWidth="1"/>
    <col min="5" max="5" width="9.5703125" bestFit="1" customWidth="1"/>
  </cols>
  <sheetData>
    <row r="1" spans="1:5" ht="18.75" x14ac:dyDescent="0.3">
      <c r="A1" s="19" t="s">
        <v>37</v>
      </c>
      <c r="B1" s="19" t="s">
        <v>34</v>
      </c>
      <c r="D1" s="19" t="s">
        <v>38</v>
      </c>
      <c r="E1" s="19" t="s">
        <v>34</v>
      </c>
    </row>
    <row r="2" spans="1:5" ht="18.75" x14ac:dyDescent="0.3">
      <c r="A2" s="19" t="s">
        <v>36</v>
      </c>
      <c r="B2" s="19">
        <f ca="1">SUMIF(A5:A20,B1,B5)</f>
        <v>600</v>
      </c>
      <c r="D2" s="19" t="s">
        <v>36</v>
      </c>
      <c r="E2" s="19">
        <f>SUMIF(A5:A20,"&lt;&gt;"&amp;E1,B5:B20)</f>
        <v>2800</v>
      </c>
    </row>
    <row r="4" spans="1:5" ht="18.75" x14ac:dyDescent="0.3">
      <c r="A4" s="23" t="s">
        <v>32</v>
      </c>
      <c r="B4" s="23" t="s">
        <v>36</v>
      </c>
    </row>
    <row r="5" spans="1:5" ht="18.75" x14ac:dyDescent="0.3">
      <c r="A5" s="23" t="s">
        <v>33</v>
      </c>
      <c r="B5" s="24">
        <v>250</v>
      </c>
    </row>
    <row r="6" spans="1:5" ht="18.75" x14ac:dyDescent="0.3">
      <c r="A6" s="23" t="s">
        <v>34</v>
      </c>
      <c r="B6" s="24">
        <v>150</v>
      </c>
      <c r="D6" s="3"/>
      <c r="E6" s="3"/>
    </row>
    <row r="7" spans="1:5" ht="18.75" x14ac:dyDescent="0.3">
      <c r="A7" s="23" t="s">
        <v>35</v>
      </c>
      <c r="B7" s="24">
        <v>200</v>
      </c>
      <c r="D7" s="3"/>
      <c r="E7" s="3"/>
    </row>
    <row r="8" spans="1:5" ht="18.75" x14ac:dyDescent="0.3">
      <c r="A8" s="23" t="s">
        <v>33</v>
      </c>
      <c r="B8" s="24">
        <v>250</v>
      </c>
    </row>
    <row r="9" spans="1:5" ht="18.75" x14ac:dyDescent="0.3">
      <c r="A9" s="23" t="s">
        <v>33</v>
      </c>
      <c r="B9" s="24">
        <v>250</v>
      </c>
    </row>
    <row r="10" spans="1:5" ht="18.75" x14ac:dyDescent="0.3">
      <c r="A10" s="23" t="s">
        <v>34</v>
      </c>
      <c r="B10" s="24">
        <v>150</v>
      </c>
    </row>
    <row r="11" spans="1:5" ht="18.75" x14ac:dyDescent="0.3">
      <c r="A11" s="23" t="s">
        <v>35</v>
      </c>
      <c r="B11" s="24">
        <v>200</v>
      </c>
    </row>
    <row r="12" spans="1:5" ht="18.75" x14ac:dyDescent="0.3">
      <c r="A12" s="23" t="s">
        <v>33</v>
      </c>
      <c r="B12" s="24">
        <v>250</v>
      </c>
    </row>
    <row r="13" spans="1:5" ht="18.75" x14ac:dyDescent="0.3">
      <c r="A13" s="23" t="s">
        <v>33</v>
      </c>
      <c r="B13" s="24">
        <v>250</v>
      </c>
    </row>
    <row r="14" spans="1:5" ht="18.75" x14ac:dyDescent="0.3">
      <c r="A14" s="23" t="s">
        <v>34</v>
      </c>
      <c r="B14" s="24">
        <v>150</v>
      </c>
    </row>
    <row r="15" spans="1:5" ht="18.75" x14ac:dyDescent="0.3">
      <c r="A15" s="23" t="s">
        <v>35</v>
      </c>
      <c r="B15" s="24">
        <v>200</v>
      </c>
    </row>
    <row r="16" spans="1:5" ht="18.75" x14ac:dyDescent="0.3">
      <c r="A16" s="23" t="s">
        <v>33</v>
      </c>
      <c r="B16" s="24">
        <v>250</v>
      </c>
    </row>
    <row r="17" spans="1:2" ht="18.75" x14ac:dyDescent="0.3">
      <c r="A17" s="23" t="s">
        <v>33</v>
      </c>
      <c r="B17" s="24">
        <v>250</v>
      </c>
    </row>
    <row r="18" spans="1:2" ht="18.75" x14ac:dyDescent="0.3">
      <c r="A18" s="23" t="s">
        <v>34</v>
      </c>
      <c r="B18" s="24">
        <v>150</v>
      </c>
    </row>
    <row r="19" spans="1:2" ht="18.75" x14ac:dyDescent="0.3">
      <c r="A19" s="23" t="s">
        <v>35</v>
      </c>
      <c r="B19" s="24">
        <v>200</v>
      </c>
    </row>
    <row r="20" spans="1:2" ht="18.75" x14ac:dyDescent="0.3">
      <c r="A20" s="23" t="s">
        <v>33</v>
      </c>
      <c r="B20" s="24">
        <v>250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04BEC-8E83-4073-A4A2-8AD976EB6F95}">
  <dimension ref="A1:F17"/>
  <sheetViews>
    <sheetView workbookViewId="0">
      <selection sqref="A1:B17"/>
    </sheetView>
  </sheetViews>
  <sheetFormatPr defaultRowHeight="15" x14ac:dyDescent="0.25"/>
  <cols>
    <col min="5" max="5" width="20.42578125" bestFit="1" customWidth="1"/>
  </cols>
  <sheetData>
    <row r="1" spans="1:6" x14ac:dyDescent="0.25">
      <c r="A1" s="1" t="s">
        <v>32</v>
      </c>
      <c r="B1" s="1" t="s">
        <v>36</v>
      </c>
      <c r="E1" s="1" t="s">
        <v>39</v>
      </c>
      <c r="F1" s="1">
        <v>200</v>
      </c>
    </row>
    <row r="2" spans="1:6" x14ac:dyDescent="0.25">
      <c r="A2" s="1" t="s">
        <v>33</v>
      </c>
      <c r="B2" s="2">
        <v>250</v>
      </c>
      <c r="E2" s="1" t="s">
        <v>40</v>
      </c>
      <c r="F2" s="1">
        <f>SUMIF(C1:C13,"&gt;"&amp;F1,C1:C13)</f>
        <v>0</v>
      </c>
    </row>
    <row r="3" spans="1:6" x14ac:dyDescent="0.25">
      <c r="A3" s="1" t="s">
        <v>34</v>
      </c>
      <c r="B3" s="2">
        <v>150</v>
      </c>
    </row>
    <row r="4" spans="1:6" x14ac:dyDescent="0.25">
      <c r="A4" s="1" t="s">
        <v>35</v>
      </c>
      <c r="B4" s="2">
        <v>200</v>
      </c>
    </row>
    <row r="5" spans="1:6" x14ac:dyDescent="0.25">
      <c r="A5" s="1" t="s">
        <v>33</v>
      </c>
      <c r="B5" s="2">
        <v>250</v>
      </c>
    </row>
    <row r="6" spans="1:6" x14ac:dyDescent="0.25">
      <c r="A6" s="1" t="s">
        <v>33</v>
      </c>
      <c r="B6" s="2">
        <v>250</v>
      </c>
    </row>
    <row r="7" spans="1:6" x14ac:dyDescent="0.25">
      <c r="A7" s="1" t="s">
        <v>34</v>
      </c>
      <c r="B7" s="2">
        <v>150</v>
      </c>
    </row>
    <row r="8" spans="1:6" x14ac:dyDescent="0.25">
      <c r="A8" s="1" t="s">
        <v>35</v>
      </c>
      <c r="B8" s="2">
        <v>200</v>
      </c>
    </row>
    <row r="9" spans="1:6" x14ac:dyDescent="0.25">
      <c r="A9" s="1" t="s">
        <v>33</v>
      </c>
      <c r="B9" s="2">
        <v>250</v>
      </c>
    </row>
    <row r="10" spans="1:6" x14ac:dyDescent="0.25">
      <c r="A10" s="1" t="s">
        <v>33</v>
      </c>
      <c r="B10" s="2">
        <v>250</v>
      </c>
    </row>
    <row r="11" spans="1:6" x14ac:dyDescent="0.25">
      <c r="A11" s="1" t="s">
        <v>34</v>
      </c>
      <c r="B11" s="2">
        <v>150</v>
      </c>
    </row>
    <row r="12" spans="1:6" x14ac:dyDescent="0.25">
      <c r="A12" s="1" t="s">
        <v>35</v>
      </c>
      <c r="B12" s="2">
        <v>200</v>
      </c>
    </row>
    <row r="13" spans="1:6" x14ac:dyDescent="0.25">
      <c r="A13" s="1" t="s">
        <v>33</v>
      </c>
      <c r="B13" s="2">
        <v>250</v>
      </c>
    </row>
    <row r="14" spans="1:6" x14ac:dyDescent="0.25">
      <c r="A14" s="1" t="s">
        <v>33</v>
      </c>
      <c r="B14" s="2">
        <v>250</v>
      </c>
    </row>
    <row r="15" spans="1:6" x14ac:dyDescent="0.25">
      <c r="A15" s="1" t="s">
        <v>34</v>
      </c>
      <c r="B15" s="2">
        <v>150</v>
      </c>
    </row>
    <row r="16" spans="1:6" x14ac:dyDescent="0.25">
      <c r="A16" s="1" t="s">
        <v>35</v>
      </c>
      <c r="B16" s="2">
        <v>200</v>
      </c>
    </row>
    <row r="17" spans="1:2" x14ac:dyDescent="0.25">
      <c r="A17" s="1" t="s">
        <v>33</v>
      </c>
      <c r="B17" s="2">
        <v>250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61194-7984-4BDB-A3D2-B591AB3C8F35}">
  <dimension ref="A1:I20"/>
  <sheetViews>
    <sheetView workbookViewId="0">
      <selection activeCell="B4" sqref="A4:B20"/>
    </sheetView>
  </sheetViews>
  <sheetFormatPr defaultRowHeight="15" x14ac:dyDescent="0.25"/>
  <cols>
    <col min="6" max="6" width="15.140625" bestFit="1" customWidth="1"/>
    <col min="7" max="7" width="15.28515625" customWidth="1"/>
  </cols>
  <sheetData>
    <row r="1" spans="1:9" x14ac:dyDescent="0.25">
      <c r="A1" s="1" t="s">
        <v>42</v>
      </c>
      <c r="B1" s="1">
        <v>10</v>
      </c>
      <c r="F1" s="1" t="s">
        <v>43</v>
      </c>
      <c r="G1" s="1">
        <v>10</v>
      </c>
    </row>
    <row r="2" spans="1:9" x14ac:dyDescent="0.25">
      <c r="A2" s="1" t="s">
        <v>40</v>
      </c>
      <c r="B2" s="1">
        <f>SUMIF(C5:C20,B1,B5:B20)</f>
        <v>250</v>
      </c>
      <c r="F2" s="1" t="s">
        <v>40</v>
      </c>
      <c r="G2" s="1">
        <f>SUMIF(H5:H20,"&lt;&gt;"&amp;G1,G5:G20)</f>
        <v>3150</v>
      </c>
    </row>
    <row r="4" spans="1:9" x14ac:dyDescent="0.25">
      <c r="A4" s="1" t="s">
        <v>32</v>
      </c>
      <c r="B4" s="4" t="s">
        <v>36</v>
      </c>
      <c r="C4" s="1" t="s">
        <v>41</v>
      </c>
      <c r="F4" s="1" t="s">
        <v>32</v>
      </c>
      <c r="G4" s="4" t="s">
        <v>36</v>
      </c>
      <c r="H4" s="1" t="s">
        <v>41</v>
      </c>
    </row>
    <row r="5" spans="1:9" x14ac:dyDescent="0.25">
      <c r="A5" s="1" t="s">
        <v>33</v>
      </c>
      <c r="B5" s="5">
        <v>250</v>
      </c>
      <c r="C5" s="1">
        <v>20</v>
      </c>
      <c r="F5" s="1" t="s">
        <v>33</v>
      </c>
      <c r="G5" s="5">
        <v>250</v>
      </c>
      <c r="H5" s="1">
        <v>20</v>
      </c>
    </row>
    <row r="6" spans="1:9" x14ac:dyDescent="0.25">
      <c r="A6" s="1" t="s">
        <v>34</v>
      </c>
      <c r="B6" s="5">
        <v>150</v>
      </c>
      <c r="C6" s="1">
        <v>24</v>
      </c>
      <c r="F6" s="1" t="s">
        <v>34</v>
      </c>
      <c r="G6" s="5">
        <v>150</v>
      </c>
      <c r="H6" s="1">
        <v>24</v>
      </c>
    </row>
    <row r="7" spans="1:9" x14ac:dyDescent="0.25">
      <c r="A7" s="1" t="s">
        <v>35</v>
      </c>
      <c r="B7" s="5">
        <v>200</v>
      </c>
      <c r="C7" s="1">
        <v>25</v>
      </c>
      <c r="F7" s="1" t="s">
        <v>35</v>
      </c>
      <c r="G7" s="5">
        <v>200</v>
      </c>
      <c r="H7" s="1">
        <v>25</v>
      </c>
    </row>
    <row r="8" spans="1:9" x14ac:dyDescent="0.25">
      <c r="A8" s="1" t="s">
        <v>33</v>
      </c>
      <c r="B8" s="5">
        <v>250</v>
      </c>
      <c r="C8" s="1">
        <v>10</v>
      </c>
      <c r="F8" s="1" t="s">
        <v>33</v>
      </c>
      <c r="G8" s="5">
        <v>250</v>
      </c>
      <c r="H8" s="1">
        <v>23</v>
      </c>
    </row>
    <row r="9" spans="1:9" x14ac:dyDescent="0.25">
      <c r="A9" s="1" t="s">
        <v>33</v>
      </c>
      <c r="B9" s="5">
        <v>250</v>
      </c>
      <c r="C9" s="1">
        <v>45</v>
      </c>
      <c r="F9" s="1" t="s">
        <v>33</v>
      </c>
      <c r="G9" s="5">
        <v>250</v>
      </c>
      <c r="H9" s="1">
        <v>45</v>
      </c>
    </row>
    <row r="10" spans="1:9" x14ac:dyDescent="0.25">
      <c r="A10" s="1" t="s">
        <v>34</v>
      </c>
      <c r="B10" s="5">
        <v>150</v>
      </c>
      <c r="C10" s="1">
        <v>21</v>
      </c>
      <c r="F10" s="1" t="s">
        <v>34</v>
      </c>
      <c r="G10" s="5">
        <v>150</v>
      </c>
      <c r="H10" s="1">
        <v>21</v>
      </c>
    </row>
    <row r="11" spans="1:9" x14ac:dyDescent="0.25">
      <c r="A11" s="1" t="s">
        <v>35</v>
      </c>
      <c r="B11" s="5">
        <v>200</v>
      </c>
      <c r="C11" s="1">
        <v>32</v>
      </c>
      <c r="F11" s="1" t="s">
        <v>35</v>
      </c>
      <c r="G11" s="5">
        <v>200</v>
      </c>
      <c r="H11" s="1">
        <v>32</v>
      </c>
      <c r="I11" t="s">
        <v>6</v>
      </c>
    </row>
    <row r="12" spans="1:9" x14ac:dyDescent="0.25">
      <c r="A12" s="1" t="s">
        <v>33</v>
      </c>
      <c r="B12" s="5">
        <v>250</v>
      </c>
      <c r="C12" s="1">
        <v>22</v>
      </c>
      <c r="F12" s="1" t="s">
        <v>33</v>
      </c>
      <c r="G12" s="5">
        <v>250</v>
      </c>
      <c r="H12" s="1">
        <v>22</v>
      </c>
    </row>
    <row r="13" spans="1:9" x14ac:dyDescent="0.25">
      <c r="A13" s="1" t="s">
        <v>33</v>
      </c>
      <c r="B13" s="5">
        <v>250</v>
      </c>
      <c r="C13" s="1">
        <v>12</v>
      </c>
      <c r="F13" s="1" t="s">
        <v>33</v>
      </c>
      <c r="G13" s="5">
        <v>250</v>
      </c>
      <c r="H13" s="1">
        <v>12</v>
      </c>
    </row>
    <row r="14" spans="1:9" x14ac:dyDescent="0.25">
      <c r="A14" s="1" t="s">
        <v>34</v>
      </c>
      <c r="B14" s="5">
        <v>150</v>
      </c>
      <c r="C14" s="1">
        <v>224</v>
      </c>
      <c r="F14" s="1" t="s">
        <v>34</v>
      </c>
      <c r="G14" s="5">
        <v>150</v>
      </c>
      <c r="H14" s="1">
        <v>224</v>
      </c>
    </row>
    <row r="15" spans="1:9" x14ac:dyDescent="0.25">
      <c r="A15" s="1" t="s">
        <v>35</v>
      </c>
      <c r="B15" s="5">
        <v>200</v>
      </c>
      <c r="C15" s="1">
        <v>21</v>
      </c>
      <c r="F15" s="1" t="s">
        <v>35</v>
      </c>
      <c r="G15" s="5">
        <v>200</v>
      </c>
      <c r="H15" s="1">
        <v>21</v>
      </c>
    </row>
    <row r="16" spans="1:9" x14ac:dyDescent="0.25">
      <c r="A16" s="1" t="s">
        <v>33</v>
      </c>
      <c r="B16" s="5">
        <v>250</v>
      </c>
      <c r="C16" s="1">
        <v>11</v>
      </c>
      <c r="F16" s="1" t="s">
        <v>33</v>
      </c>
      <c r="G16" s="5">
        <v>250</v>
      </c>
      <c r="H16" s="1">
        <v>11</v>
      </c>
    </row>
    <row r="17" spans="1:8" x14ac:dyDescent="0.25">
      <c r="A17" s="1" t="s">
        <v>33</v>
      </c>
      <c r="B17" s="5">
        <v>250</v>
      </c>
      <c r="C17" s="1">
        <v>22</v>
      </c>
      <c r="F17" s="1" t="s">
        <v>33</v>
      </c>
      <c r="G17" s="5">
        <v>250</v>
      </c>
      <c r="H17" s="1">
        <v>22</v>
      </c>
    </row>
    <row r="18" spans="1:8" x14ac:dyDescent="0.25">
      <c r="A18" s="1" t="s">
        <v>34</v>
      </c>
      <c r="B18" s="5">
        <v>150</v>
      </c>
      <c r="C18" s="1">
        <v>14</v>
      </c>
      <c r="F18" s="1" t="s">
        <v>34</v>
      </c>
      <c r="G18" s="5">
        <v>150</v>
      </c>
      <c r="H18" s="1">
        <v>14</v>
      </c>
    </row>
    <row r="19" spans="1:8" x14ac:dyDescent="0.25">
      <c r="A19" s="1" t="s">
        <v>35</v>
      </c>
      <c r="B19" s="5">
        <v>200</v>
      </c>
      <c r="C19" s="1">
        <v>25</v>
      </c>
      <c r="F19" s="1" t="s">
        <v>35</v>
      </c>
      <c r="G19" s="5">
        <v>200</v>
      </c>
      <c r="H19" s="1">
        <v>25</v>
      </c>
    </row>
    <row r="20" spans="1:8" x14ac:dyDescent="0.25">
      <c r="A20" s="1" t="s">
        <v>33</v>
      </c>
      <c r="B20" s="5">
        <v>250</v>
      </c>
      <c r="C20" s="1">
        <v>12</v>
      </c>
      <c r="F20" s="1" t="s">
        <v>33</v>
      </c>
      <c r="G20" s="5">
        <v>250</v>
      </c>
      <c r="H20" s="1">
        <v>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62752-EDE0-4659-89C0-D5B5385A41C9}">
  <dimension ref="A1:F12"/>
  <sheetViews>
    <sheetView tabSelected="1" workbookViewId="0">
      <selection activeCell="F2" sqref="F2"/>
    </sheetView>
  </sheetViews>
  <sheetFormatPr defaultRowHeight="15" x14ac:dyDescent="0.25"/>
  <cols>
    <col min="1" max="1" width="19.42578125" customWidth="1"/>
    <col min="2" max="2" width="18.7109375" style="49" customWidth="1"/>
    <col min="3" max="3" width="25.85546875" style="45" customWidth="1"/>
    <col min="4" max="4" width="18.7109375" style="41" customWidth="1"/>
    <col min="5" max="5" width="18.7109375" customWidth="1"/>
    <col min="6" max="6" width="30" customWidth="1"/>
  </cols>
  <sheetData>
    <row r="1" spans="1:6" ht="24.75" x14ac:dyDescent="0.25">
      <c r="A1" s="6" t="s">
        <v>44</v>
      </c>
      <c r="B1" s="46" t="s">
        <v>45</v>
      </c>
      <c r="C1" s="42" t="s">
        <v>46</v>
      </c>
      <c r="D1" s="39"/>
      <c r="E1" s="52" t="s">
        <v>72</v>
      </c>
      <c r="F1" s="50">
        <v>45394</v>
      </c>
    </row>
    <row r="2" spans="1:6" ht="24.75" x14ac:dyDescent="0.25">
      <c r="A2" s="7" t="s">
        <v>47</v>
      </c>
      <c r="B2" s="47">
        <v>250</v>
      </c>
      <c r="C2" s="43">
        <v>45392</v>
      </c>
      <c r="D2" s="40"/>
      <c r="E2" s="40" t="s">
        <v>40</v>
      </c>
      <c r="F2" s="51"/>
    </row>
    <row r="3" spans="1:6" ht="24.75" x14ac:dyDescent="0.25">
      <c r="A3" s="10" t="s">
        <v>48</v>
      </c>
      <c r="B3" s="48">
        <v>450</v>
      </c>
      <c r="C3" s="44">
        <v>45392</v>
      </c>
      <c r="D3" s="40"/>
      <c r="E3" s="40"/>
      <c r="F3" s="51"/>
    </row>
    <row r="4" spans="1:6" ht="24.75" x14ac:dyDescent="0.25">
      <c r="A4" s="7" t="s">
        <v>49</v>
      </c>
      <c r="B4" s="47">
        <v>250</v>
      </c>
      <c r="C4" s="44">
        <v>45393</v>
      </c>
      <c r="D4" s="40"/>
      <c r="E4" s="40"/>
      <c r="F4" s="34"/>
    </row>
    <row r="5" spans="1:6" ht="24.75" x14ac:dyDescent="0.25">
      <c r="A5" s="10" t="s">
        <v>47</v>
      </c>
      <c r="B5" s="48">
        <v>150</v>
      </c>
      <c r="C5" s="44">
        <v>45393</v>
      </c>
      <c r="D5" s="40"/>
      <c r="E5" s="40"/>
      <c r="F5" s="51"/>
    </row>
    <row r="6" spans="1:6" ht="24.75" x14ac:dyDescent="0.25">
      <c r="A6" s="7" t="s">
        <v>48</v>
      </c>
      <c r="B6" s="47">
        <v>100</v>
      </c>
      <c r="C6" s="43">
        <v>45393</v>
      </c>
      <c r="D6" s="40"/>
      <c r="E6" s="40"/>
      <c r="F6" s="51"/>
    </row>
    <row r="7" spans="1:6" ht="24.75" x14ac:dyDescent="0.25">
      <c r="A7" s="10" t="s">
        <v>48</v>
      </c>
      <c r="B7" s="48">
        <v>150</v>
      </c>
      <c r="C7" s="43">
        <v>45394</v>
      </c>
      <c r="D7" s="40"/>
      <c r="E7" s="40"/>
      <c r="F7" s="34"/>
    </row>
    <row r="8" spans="1:6" ht="24.75" x14ac:dyDescent="0.25">
      <c r="A8" s="7" t="s">
        <v>49</v>
      </c>
      <c r="B8" s="47">
        <v>100</v>
      </c>
      <c r="C8" s="43">
        <v>45394</v>
      </c>
      <c r="D8" s="40"/>
      <c r="E8" s="40"/>
      <c r="F8" s="51"/>
    </row>
    <row r="9" spans="1:6" ht="24.75" x14ac:dyDescent="0.25">
      <c r="A9" s="10" t="s">
        <v>47</v>
      </c>
      <c r="B9" s="48">
        <v>400</v>
      </c>
      <c r="C9" s="44">
        <v>45395</v>
      </c>
      <c r="D9" s="40"/>
      <c r="E9" s="40"/>
      <c r="F9" s="51"/>
    </row>
    <row r="10" spans="1:6" ht="24.75" x14ac:dyDescent="0.25">
      <c r="A10" s="7" t="s">
        <v>48</v>
      </c>
      <c r="B10" s="47">
        <v>300</v>
      </c>
      <c r="C10" s="43">
        <v>45396</v>
      </c>
      <c r="D10" s="40"/>
      <c r="E10" s="40"/>
      <c r="F10" s="51"/>
    </row>
    <row r="11" spans="1:6" ht="24.75" x14ac:dyDescent="0.25">
      <c r="A11" s="10" t="s">
        <v>48</v>
      </c>
      <c r="B11" s="48">
        <v>350</v>
      </c>
      <c r="C11" s="43">
        <v>45397</v>
      </c>
      <c r="D11" s="40"/>
      <c r="E11" s="40"/>
      <c r="F11" s="34"/>
    </row>
    <row r="12" spans="1:6" ht="24.75" x14ac:dyDescent="0.25">
      <c r="A12" s="7" t="s">
        <v>47</v>
      </c>
      <c r="B12" s="47">
        <v>250</v>
      </c>
      <c r="C12" s="43">
        <v>45397</v>
      </c>
      <c r="D12" s="40"/>
      <c r="E12" s="40"/>
      <c r="F12" s="5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5B61F-3374-4DC8-BE37-7C02B8DE24EB}">
  <dimension ref="A1:E15"/>
  <sheetViews>
    <sheetView workbookViewId="0">
      <selection activeCell="C13" sqref="C13"/>
    </sheetView>
  </sheetViews>
  <sheetFormatPr defaultColWidth="18.5703125" defaultRowHeight="15" x14ac:dyDescent="0.25"/>
  <cols>
    <col min="3" max="3" width="30.140625" customWidth="1"/>
  </cols>
  <sheetData>
    <row r="1" spans="1:5" ht="15.75" x14ac:dyDescent="0.25">
      <c r="A1" s="15" t="s">
        <v>51</v>
      </c>
      <c r="B1" s="15"/>
      <c r="D1" s="15" t="s">
        <v>50</v>
      </c>
      <c r="E1" s="15"/>
    </row>
    <row r="2" spans="1:5" ht="15.75" x14ac:dyDescent="0.25">
      <c r="A2" s="16" t="s">
        <v>40</v>
      </c>
      <c r="B2" s="17">
        <f>SUMIF(C5:C15,"&lt;&gt;",B5:B15)</f>
        <v>2000</v>
      </c>
      <c r="D2" s="16" t="s">
        <v>40</v>
      </c>
      <c r="E2" s="16">
        <f>SUMIF(C5:C15,"",B5:B15)</f>
        <v>750</v>
      </c>
    </row>
    <row r="4" spans="1:5" ht="24.75" x14ac:dyDescent="0.25">
      <c r="A4" s="6" t="s">
        <v>44</v>
      </c>
      <c r="B4" s="6" t="s">
        <v>45</v>
      </c>
      <c r="C4" s="6" t="s">
        <v>46</v>
      </c>
    </row>
    <row r="5" spans="1:5" ht="24.75" x14ac:dyDescent="0.25">
      <c r="A5" s="7" t="s">
        <v>47</v>
      </c>
      <c r="B5" s="8">
        <v>250</v>
      </c>
      <c r="C5" s="9">
        <v>45392</v>
      </c>
    </row>
    <row r="6" spans="1:5" ht="24.75" x14ac:dyDescent="0.25">
      <c r="A6" s="10" t="s">
        <v>48</v>
      </c>
      <c r="B6" s="11">
        <v>450</v>
      </c>
      <c r="C6" s="12">
        <v>45392</v>
      </c>
    </row>
    <row r="7" spans="1:5" ht="24.75" x14ac:dyDescent="0.25">
      <c r="A7" s="7" t="s">
        <v>49</v>
      </c>
      <c r="B7" s="8">
        <v>250</v>
      </c>
      <c r="C7" s="13"/>
    </row>
    <row r="8" spans="1:5" ht="24.75" x14ac:dyDescent="0.25">
      <c r="A8" s="10" t="s">
        <v>47</v>
      </c>
      <c r="B8" s="11">
        <v>150</v>
      </c>
      <c r="C8" s="12">
        <v>45393</v>
      </c>
    </row>
    <row r="9" spans="1:5" ht="24.75" x14ac:dyDescent="0.25">
      <c r="A9" s="7" t="s">
        <v>48</v>
      </c>
      <c r="B9" s="8">
        <v>100</v>
      </c>
      <c r="C9" s="9">
        <v>45393</v>
      </c>
    </row>
    <row r="10" spans="1:5" ht="24.75" x14ac:dyDescent="0.25">
      <c r="A10" s="10" t="s">
        <v>48</v>
      </c>
      <c r="B10" s="11">
        <v>150</v>
      </c>
      <c r="C10" s="14"/>
    </row>
    <row r="11" spans="1:5" ht="24.75" x14ac:dyDescent="0.25">
      <c r="A11" s="7" t="s">
        <v>49</v>
      </c>
      <c r="B11" s="8">
        <v>100</v>
      </c>
      <c r="C11" s="9">
        <v>45394</v>
      </c>
    </row>
    <row r="12" spans="1:5" ht="24.75" x14ac:dyDescent="0.25">
      <c r="A12" s="10" t="s">
        <v>47</v>
      </c>
      <c r="B12" s="11">
        <v>400</v>
      </c>
      <c r="C12" s="12">
        <v>45395</v>
      </c>
    </row>
    <row r="13" spans="1:5" ht="24.75" x14ac:dyDescent="0.25">
      <c r="A13" s="7" t="s">
        <v>48</v>
      </c>
      <c r="B13" s="8">
        <v>300</v>
      </c>
      <c r="C13" s="9">
        <v>45396</v>
      </c>
    </row>
    <row r="14" spans="1:5" ht="24.75" x14ac:dyDescent="0.25">
      <c r="A14" s="10" t="s">
        <v>48</v>
      </c>
      <c r="B14" s="11">
        <v>350</v>
      </c>
      <c r="C14" s="14"/>
    </row>
    <row r="15" spans="1:5" ht="24.75" x14ac:dyDescent="0.25">
      <c r="A15" s="7" t="s">
        <v>47</v>
      </c>
      <c r="B15" s="8">
        <v>250</v>
      </c>
      <c r="C15" s="9">
        <v>45397</v>
      </c>
    </row>
  </sheetData>
  <mergeCells count="2">
    <mergeCell ref="A1:B1"/>
    <mergeCell ref="D1:E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E8B6A-E90B-4C27-A65C-9085F7362186}">
  <dimension ref="A1:G17"/>
  <sheetViews>
    <sheetView workbookViewId="0">
      <selection activeCell="G4" sqref="G4"/>
    </sheetView>
  </sheetViews>
  <sheetFormatPr defaultRowHeight="15" x14ac:dyDescent="0.25"/>
  <cols>
    <col min="1" max="1" width="15.140625" customWidth="1"/>
    <col min="2" max="2" width="15.42578125" customWidth="1"/>
    <col min="7" max="7" width="9.5703125" bestFit="1" customWidth="1"/>
  </cols>
  <sheetData>
    <row r="1" spans="1:7" ht="18.75" x14ac:dyDescent="0.3">
      <c r="A1" s="19" t="s">
        <v>32</v>
      </c>
      <c r="B1" s="21" t="s">
        <v>36</v>
      </c>
      <c r="F1" s="19" t="s">
        <v>52</v>
      </c>
      <c r="G1" s="19" t="s">
        <v>33</v>
      </c>
    </row>
    <row r="2" spans="1:7" ht="18.75" x14ac:dyDescent="0.3">
      <c r="A2" s="19" t="s">
        <v>33</v>
      </c>
      <c r="B2" s="22">
        <v>250</v>
      </c>
      <c r="F2" s="19" t="s">
        <v>53</v>
      </c>
      <c r="G2" s="19" t="s">
        <v>34</v>
      </c>
    </row>
    <row r="3" spans="1:7" ht="18.75" x14ac:dyDescent="0.3">
      <c r="A3" s="19" t="s">
        <v>34</v>
      </c>
      <c r="B3" s="22">
        <v>150</v>
      </c>
      <c r="F3" s="19" t="s">
        <v>40</v>
      </c>
      <c r="G3" s="20">
        <f ca="1">SUMIF(B2:B17,A2:A17,G1)+SUMIF(B2:B17,A2:A17,G2)</f>
        <v>0</v>
      </c>
    </row>
    <row r="4" spans="1:7" ht="18.75" x14ac:dyDescent="0.3">
      <c r="A4" s="19" t="s">
        <v>35</v>
      </c>
      <c r="B4" s="22">
        <v>200</v>
      </c>
    </row>
    <row r="5" spans="1:7" ht="18.75" x14ac:dyDescent="0.3">
      <c r="A5" s="19" t="s">
        <v>33</v>
      </c>
      <c r="B5" s="22">
        <v>250</v>
      </c>
    </row>
    <row r="6" spans="1:7" ht="18.75" x14ac:dyDescent="0.3">
      <c r="A6" s="19" t="s">
        <v>33</v>
      </c>
      <c r="B6" s="22">
        <v>250</v>
      </c>
    </row>
    <row r="7" spans="1:7" ht="18.75" x14ac:dyDescent="0.3">
      <c r="A7" s="19" t="s">
        <v>34</v>
      </c>
      <c r="B7" s="22">
        <v>150</v>
      </c>
    </row>
    <row r="8" spans="1:7" ht="18.75" x14ac:dyDescent="0.3">
      <c r="A8" s="19" t="s">
        <v>35</v>
      </c>
      <c r="B8" s="22">
        <v>200</v>
      </c>
    </row>
    <row r="9" spans="1:7" ht="18.75" x14ac:dyDescent="0.3">
      <c r="A9" s="19" t="s">
        <v>33</v>
      </c>
      <c r="B9" s="22">
        <v>250</v>
      </c>
    </row>
    <row r="10" spans="1:7" ht="18.75" x14ac:dyDescent="0.3">
      <c r="A10" s="19" t="s">
        <v>33</v>
      </c>
      <c r="B10" s="22">
        <v>250</v>
      </c>
    </row>
    <row r="11" spans="1:7" ht="18.75" x14ac:dyDescent="0.3">
      <c r="A11" s="19" t="s">
        <v>34</v>
      </c>
      <c r="B11" s="22">
        <v>150</v>
      </c>
    </row>
    <row r="12" spans="1:7" ht="18.75" x14ac:dyDescent="0.3">
      <c r="A12" s="19" t="s">
        <v>35</v>
      </c>
      <c r="B12" s="22">
        <v>200</v>
      </c>
    </row>
    <row r="13" spans="1:7" ht="18.75" x14ac:dyDescent="0.3">
      <c r="A13" s="19" t="s">
        <v>33</v>
      </c>
      <c r="B13" s="22">
        <v>250</v>
      </c>
    </row>
    <row r="14" spans="1:7" ht="18.75" x14ac:dyDescent="0.3">
      <c r="A14" s="19" t="s">
        <v>33</v>
      </c>
      <c r="B14" s="22">
        <v>250</v>
      </c>
    </row>
    <row r="15" spans="1:7" ht="18.75" x14ac:dyDescent="0.3">
      <c r="A15" s="19" t="s">
        <v>34</v>
      </c>
      <c r="B15" s="22">
        <v>150</v>
      </c>
    </row>
    <row r="16" spans="1:7" ht="18.75" x14ac:dyDescent="0.3">
      <c r="A16" s="19" t="s">
        <v>35</v>
      </c>
      <c r="B16" s="22">
        <v>200</v>
      </c>
    </row>
    <row r="17" spans="1:2" ht="18.75" x14ac:dyDescent="0.3">
      <c r="A17" s="19" t="s">
        <v>33</v>
      </c>
      <c r="B17" s="22">
        <v>250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CEE95-E19D-4D8A-8221-3D3EB2FBBE18}">
  <dimension ref="A1:F13"/>
  <sheetViews>
    <sheetView workbookViewId="0">
      <selection activeCell="F14" sqref="F14"/>
    </sheetView>
  </sheetViews>
  <sheetFormatPr defaultRowHeight="15" x14ac:dyDescent="0.25"/>
  <cols>
    <col min="1" max="1" width="18.140625" customWidth="1"/>
    <col min="2" max="2" width="17.85546875" customWidth="1"/>
    <col min="5" max="5" width="31.42578125" customWidth="1"/>
    <col min="6" max="6" width="23.140625" customWidth="1"/>
  </cols>
  <sheetData>
    <row r="1" spans="1:6" ht="24.75" customHeight="1" x14ac:dyDescent="0.25">
      <c r="A1" s="6" t="s">
        <v>58</v>
      </c>
      <c r="B1" s="38" t="s">
        <v>59</v>
      </c>
      <c r="C1" s="6" t="s">
        <v>60</v>
      </c>
      <c r="E1" s="35" t="s">
        <v>58</v>
      </c>
      <c r="F1" s="35" t="s">
        <v>65</v>
      </c>
    </row>
    <row r="2" spans="1:6" ht="24.75" x14ac:dyDescent="0.25">
      <c r="A2" s="7" t="s">
        <v>47</v>
      </c>
      <c r="B2" s="37" t="s">
        <v>61</v>
      </c>
      <c r="C2" s="32">
        <v>200</v>
      </c>
      <c r="E2" s="35" t="s">
        <v>59</v>
      </c>
      <c r="F2" s="35" t="s">
        <v>66</v>
      </c>
    </row>
    <row r="3" spans="1:6" ht="24.75" customHeight="1" x14ac:dyDescent="0.25">
      <c r="A3" s="10" t="s">
        <v>48</v>
      </c>
      <c r="B3" s="36" t="s">
        <v>62</v>
      </c>
      <c r="C3" s="33">
        <v>350</v>
      </c>
      <c r="E3" s="35" t="s">
        <v>60</v>
      </c>
      <c r="F3" s="35">
        <f>SUMIFS(C2:C12,A2:A12,F1,B2:B12,F2)</f>
        <v>410</v>
      </c>
    </row>
    <row r="4" spans="1:6" ht="24.75" customHeight="1" x14ac:dyDescent="0.25">
      <c r="A4" s="7" t="s">
        <v>49</v>
      </c>
      <c r="B4" s="37" t="s">
        <v>63</v>
      </c>
      <c r="C4" s="32">
        <v>180</v>
      </c>
      <c r="E4" s="34"/>
      <c r="F4" s="34"/>
    </row>
    <row r="5" spans="1:6" ht="24.75" customHeight="1" x14ac:dyDescent="0.25">
      <c r="A5" s="10" t="s">
        <v>47</v>
      </c>
      <c r="B5" s="36" t="s">
        <v>62</v>
      </c>
      <c r="C5" s="33">
        <v>400</v>
      </c>
      <c r="E5" s="35" t="s">
        <v>58</v>
      </c>
      <c r="F5" s="35" t="s">
        <v>67</v>
      </c>
    </row>
    <row r="6" spans="1:6" ht="24.75" x14ac:dyDescent="0.25">
      <c r="A6" s="7" t="s">
        <v>48</v>
      </c>
      <c r="B6" s="37" t="s">
        <v>61</v>
      </c>
      <c r="C6" s="32">
        <v>250</v>
      </c>
      <c r="E6" s="35" t="s">
        <v>59</v>
      </c>
      <c r="F6" s="35" t="s">
        <v>68</v>
      </c>
    </row>
    <row r="7" spans="1:6" ht="24.75" customHeight="1" x14ac:dyDescent="0.25">
      <c r="A7" s="10" t="s">
        <v>48</v>
      </c>
      <c r="B7" s="36" t="s">
        <v>62</v>
      </c>
      <c r="C7" s="33">
        <v>120</v>
      </c>
      <c r="E7" s="35" t="s">
        <v>60</v>
      </c>
      <c r="F7" s="35" t="s">
        <v>69</v>
      </c>
    </row>
    <row r="8" spans="1:6" ht="24.75" x14ac:dyDescent="0.25">
      <c r="A8" s="7" t="s">
        <v>49</v>
      </c>
      <c r="B8" s="37" t="s">
        <v>61</v>
      </c>
      <c r="C8" s="32">
        <v>560</v>
      </c>
      <c r="E8" s="35" t="s">
        <v>64</v>
      </c>
      <c r="F8" s="35">
        <f>SUMIFS(C2:C12,A2:A12,F5,B2:B12,F6,C2:C12,F7)</f>
        <v>800</v>
      </c>
    </row>
    <row r="9" spans="1:6" ht="24.75" customHeight="1" x14ac:dyDescent="0.25">
      <c r="A9" s="10" t="s">
        <v>47</v>
      </c>
      <c r="B9" s="36" t="s">
        <v>63</v>
      </c>
      <c r="C9" s="33">
        <v>310</v>
      </c>
      <c r="E9" s="34"/>
      <c r="F9" s="34"/>
    </row>
    <row r="10" spans="1:6" ht="24.75" customHeight="1" x14ac:dyDescent="0.25">
      <c r="A10" s="7" t="s">
        <v>48</v>
      </c>
      <c r="B10" s="37" t="s">
        <v>62</v>
      </c>
      <c r="C10" s="32">
        <v>450</v>
      </c>
      <c r="E10" s="35" t="s">
        <v>58</v>
      </c>
      <c r="F10" s="35" t="s">
        <v>70</v>
      </c>
    </row>
    <row r="11" spans="1:6" ht="24.75" customHeight="1" x14ac:dyDescent="0.25">
      <c r="A11" s="10" t="s">
        <v>48</v>
      </c>
      <c r="B11" s="36" t="s">
        <v>62</v>
      </c>
      <c r="C11" s="33">
        <v>200</v>
      </c>
      <c r="E11" s="35" t="s">
        <v>59</v>
      </c>
      <c r="F11" s="35" t="s">
        <v>68</v>
      </c>
    </row>
    <row r="12" spans="1:6" ht="24.75" customHeight="1" x14ac:dyDescent="0.25">
      <c r="A12" s="7" t="s">
        <v>47</v>
      </c>
      <c r="B12" s="37" t="s">
        <v>63</v>
      </c>
      <c r="C12" s="32">
        <v>100</v>
      </c>
      <c r="E12" s="35" t="s">
        <v>60</v>
      </c>
      <c r="F12" s="35" t="s">
        <v>71</v>
      </c>
    </row>
    <row r="13" spans="1:6" ht="24.75" x14ac:dyDescent="0.25">
      <c r="E13" s="35" t="s">
        <v>64</v>
      </c>
      <c r="F13" s="35">
        <f>SUMIFS(C2:C12,B2:B12,F11,C2:C12,F12)</f>
        <v>1400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Math &amp; Trignamatry</vt:lpstr>
      <vt:lpstr>SUMIF</vt:lpstr>
      <vt:lpstr>SUMIF with Text critera</vt:lpstr>
      <vt:lpstr>SUMIF greater than</vt:lpstr>
      <vt:lpstr>Sumif equal &amp; not equal to</vt:lpstr>
      <vt:lpstr>Sumif Formula for Date</vt:lpstr>
      <vt:lpstr>Sumif blank &amp; non-Black</vt:lpstr>
      <vt:lpstr>Sumifs 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2026-04-18T11:29:16Z</dcterms:created>
  <dcterms:modified xsi:type="dcterms:W3CDTF">2026-04-20T06:44:01Z</dcterms:modified>
</cp:coreProperties>
</file>