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43F094FB-0830-40BB-84A2-F420103FE6EA}" xr6:coauthVersionLast="36" xr6:coauthVersionMax="36" xr10:uidLastSave="{00000000-0000-0000-0000-000000000000}"/>
  <bookViews>
    <workbookView xWindow="0" yWindow="0" windowWidth="20490" windowHeight="7545" firstSheet="3" activeTab="5" xr2:uid="{604E6584-ECEA-4BCF-8BA3-43E6103E1CE7}"/>
  </bookViews>
  <sheets>
    <sheet name="Sumifs with multiple criteria" sheetId="1" r:id="rId1"/>
    <sheet name="Sumif blank &amp; non-Black" sheetId="3" r:id="rId2"/>
    <sheet name="Sumif formula for Date" sheetId="4" r:id="rId3"/>
    <sheet name="Sumif equal &amp; not equal to" sheetId="5" r:id="rId4"/>
    <sheet name="SUMIF greater than" sheetId="6" r:id="rId5"/>
    <sheet name="SUMIF with Text critera" sheetId="7" r:id="rId6"/>
    <sheet name="Sumif with multiple criteria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7" l="1"/>
  <c r="B2" i="7"/>
  <c r="F2" i="6"/>
  <c r="G2" i="5"/>
  <c r="B2" i="5"/>
  <c r="G2" i="4"/>
  <c r="E2" i="3"/>
  <c r="B2" i="3"/>
  <c r="G3" i="2"/>
  <c r="F13" i="1"/>
  <c r="F8" i="1"/>
  <c r="F3" i="1"/>
</calcChain>
</file>

<file path=xl/sharedStrings.xml><?xml version="1.0" encoding="utf-8"?>
<sst xmlns="http://schemas.openxmlformats.org/spreadsheetml/2006/main" count="190" uniqueCount="40">
  <si>
    <r>
      <rPr>
        <b/>
        <sz val="19.5"/>
        <rFont val="Times New Roman"/>
        <family val="1"/>
      </rPr>
      <t>Product</t>
    </r>
  </si>
  <si>
    <r>
      <rPr>
        <b/>
        <sz val="19.5"/>
        <rFont val="Times New Roman"/>
        <family val="1"/>
      </rPr>
      <t>Supplier</t>
    </r>
  </si>
  <si>
    <r>
      <rPr>
        <b/>
        <sz val="19.5"/>
        <rFont val="Times New Roman"/>
        <family val="1"/>
      </rPr>
      <t>Qty.</t>
    </r>
  </si>
  <si>
    <t>Apples</t>
  </si>
  <si>
    <r>
      <rPr>
        <sz val="19.5"/>
        <rFont val="Times New Roman"/>
        <family val="1"/>
      </rPr>
      <t>Apples</t>
    </r>
  </si>
  <si>
    <r>
      <rPr>
        <sz val="19.5"/>
        <rFont val="Times New Roman"/>
        <family val="1"/>
      </rPr>
      <t>John</t>
    </r>
  </si>
  <si>
    <t>Peter</t>
  </si>
  <si>
    <r>
      <rPr>
        <sz val="19.5"/>
        <rFont val="Times New Roman"/>
        <family val="1"/>
      </rPr>
      <t>Bananas</t>
    </r>
  </si>
  <si>
    <r>
      <rPr>
        <sz val="19.5"/>
        <rFont val="Times New Roman"/>
        <family val="1"/>
      </rPr>
      <t>Mike</t>
    </r>
  </si>
  <si>
    <r>
      <rPr>
        <sz val="19.5"/>
        <rFont val="Times New Roman"/>
        <family val="1"/>
      </rPr>
      <t>Oranges</t>
    </r>
  </si>
  <si>
    <r>
      <rPr>
        <sz val="19.5"/>
        <rFont val="Times New Roman"/>
        <family val="1"/>
      </rPr>
      <t>Peter</t>
    </r>
  </si>
  <si>
    <t>Bananas</t>
  </si>
  <si>
    <t>Mike</t>
  </si>
  <si>
    <t>&gt;200</t>
  </si>
  <si>
    <r>
      <rPr>
        <b/>
        <sz val="19.5"/>
        <rFont val="Times New Roman"/>
        <family val="1"/>
      </rPr>
      <t>Total</t>
    </r>
  </si>
  <si>
    <t>Any</t>
  </si>
  <si>
    <t>&gt;=200</t>
  </si>
  <si>
    <t>Item</t>
  </si>
  <si>
    <t>Amount</t>
  </si>
  <si>
    <t>Item_1</t>
  </si>
  <si>
    <t>Apple</t>
  </si>
  <si>
    <t>Item_2</t>
  </si>
  <si>
    <t>Banana</t>
  </si>
  <si>
    <t>Total</t>
  </si>
  <si>
    <t>Orange</t>
  </si>
  <si>
    <t>Delivery Date Known</t>
  </si>
  <si>
    <t>Delivery Date is not Known</t>
  </si>
  <si>
    <r>
      <rPr>
        <b/>
        <sz val="19.5"/>
        <rFont val="Times New Roman"/>
        <family val="1"/>
      </rPr>
      <t>Item</t>
    </r>
  </si>
  <si>
    <r>
      <rPr>
        <b/>
        <sz val="19.5"/>
        <rFont val="Times New Roman"/>
        <family val="1"/>
      </rPr>
      <t>Amount</t>
    </r>
  </si>
  <si>
    <r>
      <rPr>
        <b/>
        <sz val="19.5"/>
        <rFont val="Times New Roman"/>
        <family val="1"/>
      </rPr>
      <t>Delivery date</t>
    </r>
  </si>
  <si>
    <t>Delivery Date</t>
  </si>
  <si>
    <t>Befora</t>
  </si>
  <si>
    <t>Oranges</t>
  </si>
  <si>
    <t>Qty.</t>
  </si>
  <si>
    <t>Any Qty. except</t>
  </si>
  <si>
    <t>Qty</t>
  </si>
  <si>
    <t xml:space="preserve"> </t>
  </si>
  <si>
    <t>Amount Greater Than</t>
  </si>
  <si>
    <t>Product</t>
  </si>
  <si>
    <t>All Product but not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</si>
</sst>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\$0"/>
    <numFmt numFmtId="166" formatCode="m/dd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9.5"/>
      <name val="Times New Roman"/>
      <family val="1"/>
    </font>
    <font>
      <sz val="19.5"/>
      <name val="Times New Roman"/>
      <family val="1"/>
    </font>
    <font>
      <sz val="19.5"/>
      <color rgb="FF000000"/>
      <name val="Times New Roman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DBD"/>
      </patternFill>
    </fill>
    <fill>
      <patternFill patternType="solid">
        <fgColor rgb="FFF3F3F3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right" vertical="top" shrinkToFi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0" fontId="6" fillId="0" borderId="3" xfId="0" applyFont="1" applyBorder="1"/>
    <xf numFmtId="0" fontId="0" fillId="0" borderId="0" xfId="0" applyBorder="1"/>
    <xf numFmtId="164" fontId="6" fillId="0" borderId="3" xfId="1" applyNumberFormat="1" applyFont="1" applyBorder="1"/>
    <xf numFmtId="164" fontId="6" fillId="0" borderId="3" xfId="0" applyNumberFormat="1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/>
    <xf numFmtId="165" fontId="5" fillId="0" borderId="1" xfId="0" applyNumberFormat="1" applyFont="1" applyFill="1" applyBorder="1" applyAlignment="1">
      <alignment horizontal="right" vertical="top" shrinkToFit="1"/>
    </xf>
    <xf numFmtId="166" fontId="5" fillId="0" borderId="1" xfId="0" applyNumberFormat="1" applyFont="1" applyFill="1" applyBorder="1" applyAlignment="1">
      <alignment horizontal="right" vertical="top" shrinkToFit="1"/>
    </xf>
    <xf numFmtId="165" fontId="5" fillId="3" borderId="1" xfId="0" applyNumberFormat="1" applyFont="1" applyFill="1" applyBorder="1" applyAlignment="1">
      <alignment horizontal="right" vertical="top" shrinkToFit="1"/>
    </xf>
    <xf numFmtId="166" fontId="5" fillId="3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8" fillId="4" borderId="3" xfId="0" applyFont="1" applyFill="1" applyBorder="1"/>
    <xf numFmtId="0" fontId="6" fillId="4" borderId="3" xfId="0" applyFont="1" applyFill="1" applyBorder="1"/>
    <xf numFmtId="14" fontId="6" fillId="4" borderId="3" xfId="0" applyNumberFormat="1" applyFont="1" applyFill="1" applyBorder="1"/>
    <xf numFmtId="14" fontId="8" fillId="4" borderId="3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1" applyNumberFormat="1" applyFont="1" applyBorder="1"/>
    <xf numFmtId="164" fontId="2" fillId="0" borderId="3" xfId="1" applyNumberFormat="1" applyFont="1" applyBorder="1"/>
    <xf numFmtId="164" fontId="6" fillId="4" borderId="3" xfId="1" applyNumberFormat="1" applyFont="1" applyFill="1" applyBorder="1"/>
    <xf numFmtId="0" fontId="0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85D2-F692-4021-8374-71AF89F371A2}">
  <dimension ref="A1:F13"/>
  <sheetViews>
    <sheetView workbookViewId="0">
      <selection activeCell="B13" sqref="B13"/>
    </sheetView>
  </sheetViews>
  <sheetFormatPr defaultRowHeight="15" x14ac:dyDescent="0.25"/>
  <cols>
    <col min="1" max="1" width="18.140625" customWidth="1"/>
    <col min="2" max="2" width="16.28515625" customWidth="1"/>
    <col min="3" max="3" width="11.140625" customWidth="1"/>
    <col min="5" max="5" width="15.42578125" customWidth="1"/>
    <col min="6" max="6" width="18" customWidth="1"/>
  </cols>
  <sheetData>
    <row r="1" spans="1:6" ht="24.75" x14ac:dyDescent="0.25">
      <c r="A1" s="1" t="s">
        <v>0</v>
      </c>
      <c r="B1" s="2" t="s">
        <v>1</v>
      </c>
      <c r="C1" s="1" t="s">
        <v>2</v>
      </c>
      <c r="E1" s="3" t="s">
        <v>0</v>
      </c>
      <c r="F1" s="3" t="s">
        <v>3</v>
      </c>
    </row>
    <row r="2" spans="1:6" ht="24.75" x14ac:dyDescent="0.25">
      <c r="A2" s="4" t="s">
        <v>4</v>
      </c>
      <c r="B2" s="5" t="s">
        <v>5</v>
      </c>
      <c r="C2" s="6">
        <v>200</v>
      </c>
      <c r="E2" s="3" t="s">
        <v>1</v>
      </c>
      <c r="F2" s="3" t="s">
        <v>6</v>
      </c>
    </row>
    <row r="3" spans="1:6" ht="24.75" x14ac:dyDescent="0.25">
      <c r="A3" s="7" t="s">
        <v>7</v>
      </c>
      <c r="B3" s="8" t="s">
        <v>8</v>
      </c>
      <c r="C3" s="9">
        <v>350</v>
      </c>
      <c r="E3" s="3" t="s">
        <v>2</v>
      </c>
      <c r="F3" s="3">
        <f>SUMIFS(C2:C12,A2:A12,F1,B2:B12,F2)</f>
        <v>410</v>
      </c>
    </row>
    <row r="4" spans="1:6" ht="24.75" x14ac:dyDescent="0.25">
      <c r="A4" s="4" t="s">
        <v>9</v>
      </c>
      <c r="B4" s="5" t="s">
        <v>10</v>
      </c>
      <c r="C4" s="6">
        <v>180</v>
      </c>
      <c r="E4" s="10"/>
      <c r="F4" s="10"/>
    </row>
    <row r="5" spans="1:6" ht="24.75" x14ac:dyDescent="0.25">
      <c r="A5" s="7" t="s">
        <v>4</v>
      </c>
      <c r="B5" s="8" t="s">
        <v>8</v>
      </c>
      <c r="C5" s="9">
        <v>400</v>
      </c>
      <c r="E5" s="3" t="s">
        <v>0</v>
      </c>
      <c r="F5" s="3" t="s">
        <v>11</v>
      </c>
    </row>
    <row r="6" spans="1:6" ht="24.75" x14ac:dyDescent="0.25">
      <c r="A6" s="4" t="s">
        <v>7</v>
      </c>
      <c r="B6" s="5" t="s">
        <v>5</v>
      </c>
      <c r="C6" s="6">
        <v>250</v>
      </c>
      <c r="E6" s="3" t="s">
        <v>1</v>
      </c>
      <c r="F6" s="3" t="s">
        <v>12</v>
      </c>
    </row>
    <row r="7" spans="1:6" ht="24.75" x14ac:dyDescent="0.25">
      <c r="A7" s="7" t="s">
        <v>7</v>
      </c>
      <c r="B7" s="8" t="s">
        <v>8</v>
      </c>
      <c r="C7" s="9">
        <v>120</v>
      </c>
      <c r="E7" s="3" t="s">
        <v>2</v>
      </c>
      <c r="F7" s="3" t="s">
        <v>13</v>
      </c>
    </row>
    <row r="8" spans="1:6" ht="24.75" x14ac:dyDescent="0.25">
      <c r="A8" s="4" t="s">
        <v>9</v>
      </c>
      <c r="B8" s="5" t="s">
        <v>5</v>
      </c>
      <c r="C8" s="6">
        <v>560</v>
      </c>
      <c r="E8" s="3" t="s">
        <v>14</v>
      </c>
      <c r="F8" s="3">
        <f>SUMIFS(C2:C12,A2:A12,F5,B2:B12,F6,C2:C12,F7)</f>
        <v>800</v>
      </c>
    </row>
    <row r="9" spans="1:6" ht="24.75" x14ac:dyDescent="0.25">
      <c r="A9" s="7" t="s">
        <v>4</v>
      </c>
      <c r="B9" s="8" t="s">
        <v>10</v>
      </c>
      <c r="C9" s="9">
        <v>310</v>
      </c>
      <c r="E9" s="10"/>
      <c r="F9" s="10"/>
    </row>
    <row r="10" spans="1:6" ht="24.75" x14ac:dyDescent="0.25">
      <c r="A10" s="4" t="s">
        <v>7</v>
      </c>
      <c r="B10" s="5" t="s">
        <v>8</v>
      </c>
      <c r="C10" s="6">
        <v>450</v>
      </c>
      <c r="E10" s="3" t="s">
        <v>0</v>
      </c>
      <c r="F10" s="3" t="s">
        <v>15</v>
      </c>
    </row>
    <row r="11" spans="1:6" ht="24.75" x14ac:dyDescent="0.25">
      <c r="A11" s="7" t="s">
        <v>7</v>
      </c>
      <c r="B11" s="8" t="s">
        <v>8</v>
      </c>
      <c r="C11" s="9">
        <v>200</v>
      </c>
      <c r="E11" s="3" t="s">
        <v>1</v>
      </c>
      <c r="F11" s="3" t="s">
        <v>12</v>
      </c>
    </row>
    <row r="12" spans="1:6" ht="24.75" x14ac:dyDescent="0.25">
      <c r="A12" s="4" t="s">
        <v>4</v>
      </c>
      <c r="B12" s="5" t="s">
        <v>10</v>
      </c>
      <c r="C12" s="6">
        <v>100</v>
      </c>
      <c r="E12" s="3" t="s">
        <v>2</v>
      </c>
      <c r="F12" s="3" t="s">
        <v>16</v>
      </c>
    </row>
    <row r="13" spans="1:6" ht="24.75" x14ac:dyDescent="0.25">
      <c r="E13" s="3" t="s">
        <v>14</v>
      </c>
      <c r="F13" s="3">
        <f>SUMIFS(C2:C12,B2:B12,F11,C2:C12,F12)</f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B0FB-0FF7-44A4-95C1-29897C652B81}">
  <dimension ref="A1:E15"/>
  <sheetViews>
    <sheetView workbookViewId="0">
      <selection sqref="A1:XFD1048576"/>
    </sheetView>
  </sheetViews>
  <sheetFormatPr defaultColWidth="18.5703125" defaultRowHeight="15" x14ac:dyDescent="0.25"/>
  <cols>
    <col min="3" max="3" width="30.140625" customWidth="1"/>
  </cols>
  <sheetData>
    <row r="1" spans="1:5" ht="15.75" x14ac:dyDescent="0.25">
      <c r="A1" s="15" t="s">
        <v>25</v>
      </c>
      <c r="B1" s="15"/>
      <c r="D1" s="15" t="s">
        <v>26</v>
      </c>
      <c r="E1" s="15"/>
    </row>
    <row r="2" spans="1:5" ht="15.75" x14ac:dyDescent="0.25">
      <c r="A2" s="16" t="s">
        <v>23</v>
      </c>
      <c r="B2" s="17">
        <f>SUMIF(C5:C15,"&lt;&gt;",B5:B15)</f>
        <v>2000</v>
      </c>
      <c r="D2" s="16" t="s">
        <v>23</v>
      </c>
      <c r="E2" s="16">
        <f>SUMIF(C5:C15,"",B5:B15)</f>
        <v>750</v>
      </c>
    </row>
    <row r="4" spans="1:5" ht="24.75" x14ac:dyDescent="0.25">
      <c r="A4" s="1" t="s">
        <v>27</v>
      </c>
      <c r="B4" s="1" t="s">
        <v>28</v>
      </c>
      <c r="C4" s="1" t="s">
        <v>29</v>
      </c>
    </row>
    <row r="5" spans="1:5" ht="24.75" x14ac:dyDescent="0.25">
      <c r="A5" s="4" t="s">
        <v>4</v>
      </c>
      <c r="B5" s="18">
        <v>250</v>
      </c>
      <c r="C5" s="19">
        <v>45392</v>
      </c>
    </row>
    <row r="6" spans="1:5" ht="24.75" x14ac:dyDescent="0.25">
      <c r="A6" s="7" t="s">
        <v>7</v>
      </c>
      <c r="B6" s="20">
        <v>450</v>
      </c>
      <c r="C6" s="21">
        <v>45392</v>
      </c>
    </row>
    <row r="7" spans="1:5" ht="24.75" x14ac:dyDescent="0.25">
      <c r="A7" s="4" t="s">
        <v>9</v>
      </c>
      <c r="B7" s="18">
        <v>250</v>
      </c>
      <c r="C7" s="22"/>
    </row>
    <row r="8" spans="1:5" ht="24.75" x14ac:dyDescent="0.25">
      <c r="A8" s="7" t="s">
        <v>4</v>
      </c>
      <c r="B8" s="20">
        <v>150</v>
      </c>
      <c r="C8" s="21">
        <v>45393</v>
      </c>
    </row>
    <row r="9" spans="1:5" ht="24.75" x14ac:dyDescent="0.25">
      <c r="A9" s="4" t="s">
        <v>7</v>
      </c>
      <c r="B9" s="18">
        <v>100</v>
      </c>
      <c r="C9" s="19">
        <v>45393</v>
      </c>
    </row>
    <row r="10" spans="1:5" ht="24.75" x14ac:dyDescent="0.25">
      <c r="A10" s="7" t="s">
        <v>7</v>
      </c>
      <c r="B10" s="20">
        <v>150</v>
      </c>
      <c r="C10" s="23"/>
    </row>
    <row r="11" spans="1:5" ht="24.75" x14ac:dyDescent="0.25">
      <c r="A11" s="4" t="s">
        <v>9</v>
      </c>
      <c r="B11" s="18">
        <v>100</v>
      </c>
      <c r="C11" s="19">
        <v>45394</v>
      </c>
    </row>
    <row r="12" spans="1:5" ht="24.75" x14ac:dyDescent="0.25">
      <c r="A12" s="7" t="s">
        <v>4</v>
      </c>
      <c r="B12" s="20">
        <v>400</v>
      </c>
      <c r="C12" s="21">
        <v>45395</v>
      </c>
    </row>
    <row r="13" spans="1:5" ht="24.75" x14ac:dyDescent="0.25">
      <c r="A13" s="4" t="s">
        <v>7</v>
      </c>
      <c r="B13" s="18">
        <v>300</v>
      </c>
      <c r="C13" s="19">
        <v>45396</v>
      </c>
    </row>
    <row r="14" spans="1:5" ht="24.75" x14ac:dyDescent="0.25">
      <c r="A14" s="7" t="s">
        <v>7</v>
      </c>
      <c r="B14" s="20">
        <v>350</v>
      </c>
      <c r="C14" s="23"/>
    </row>
    <row r="15" spans="1:5" ht="24.75" x14ac:dyDescent="0.25">
      <c r="A15" s="4" t="s">
        <v>4</v>
      </c>
      <c r="B15" s="18">
        <v>250</v>
      </c>
      <c r="C15" s="19">
        <v>45397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EEF7-DC3E-4252-95E1-48F74EA05036}">
  <dimension ref="A1:G14"/>
  <sheetViews>
    <sheetView workbookViewId="0">
      <selection activeCell="H14" sqref="H14"/>
    </sheetView>
  </sheetViews>
  <sheetFormatPr defaultRowHeight="15" x14ac:dyDescent="0.25"/>
  <cols>
    <col min="1" max="1" width="13.5703125" bestFit="1" customWidth="1"/>
    <col min="2" max="2" width="13" bestFit="1" customWidth="1"/>
    <col min="3" max="3" width="20.7109375" bestFit="1" customWidth="1"/>
    <col min="6" max="6" width="8.85546875" bestFit="1" customWidth="1"/>
    <col min="7" max="7" width="13.7109375" bestFit="1" customWidth="1"/>
  </cols>
  <sheetData>
    <row r="1" spans="1:7" ht="23.25" x14ac:dyDescent="0.35">
      <c r="A1" s="24" t="s">
        <v>17</v>
      </c>
      <c r="B1" s="24" t="s">
        <v>18</v>
      </c>
      <c r="C1" s="24" t="s">
        <v>30</v>
      </c>
      <c r="F1" s="25" t="s">
        <v>31</v>
      </c>
      <c r="G1" s="26">
        <v>45762</v>
      </c>
    </row>
    <row r="2" spans="1:7" ht="23.25" x14ac:dyDescent="0.35">
      <c r="A2" s="24" t="s">
        <v>3</v>
      </c>
      <c r="B2" s="24">
        <v>250</v>
      </c>
      <c r="C2" s="27">
        <v>45393</v>
      </c>
      <c r="F2" s="25" t="s">
        <v>23</v>
      </c>
      <c r="G2" s="25">
        <f>SUMIF(C2:C14,"&lt;"&amp;G1,B2:B14)</f>
        <v>3500</v>
      </c>
    </row>
    <row r="3" spans="1:7" ht="23.25" x14ac:dyDescent="0.35">
      <c r="A3" s="24" t="s">
        <v>11</v>
      </c>
      <c r="B3" s="24">
        <v>450</v>
      </c>
      <c r="C3" s="27">
        <v>45394</v>
      </c>
    </row>
    <row r="4" spans="1:7" ht="23.25" x14ac:dyDescent="0.35">
      <c r="A4" s="24" t="s">
        <v>32</v>
      </c>
      <c r="B4" s="24">
        <v>150</v>
      </c>
      <c r="C4" s="27">
        <v>45395</v>
      </c>
    </row>
    <row r="5" spans="1:7" ht="23.25" x14ac:dyDescent="0.35">
      <c r="A5" s="24" t="s">
        <v>3</v>
      </c>
      <c r="B5" s="24">
        <v>400</v>
      </c>
      <c r="C5" s="27">
        <v>45396</v>
      </c>
    </row>
    <row r="6" spans="1:7" ht="23.25" x14ac:dyDescent="0.35">
      <c r="A6" s="24" t="s">
        <v>11</v>
      </c>
      <c r="B6" s="24">
        <v>350</v>
      </c>
      <c r="C6" s="27">
        <v>45397</v>
      </c>
    </row>
    <row r="7" spans="1:7" ht="23.25" x14ac:dyDescent="0.35">
      <c r="A7" s="24" t="s">
        <v>32</v>
      </c>
      <c r="B7" s="24">
        <v>200</v>
      </c>
      <c r="C7" s="27">
        <v>45398</v>
      </c>
    </row>
    <row r="8" spans="1:7" ht="23.25" x14ac:dyDescent="0.35">
      <c r="A8" s="24" t="s">
        <v>3</v>
      </c>
      <c r="B8" s="24">
        <v>150</v>
      </c>
      <c r="C8" s="27">
        <v>45399</v>
      </c>
    </row>
    <row r="9" spans="1:7" ht="23.25" x14ac:dyDescent="0.35">
      <c r="A9" s="24" t="s">
        <v>11</v>
      </c>
      <c r="B9" s="24">
        <v>150</v>
      </c>
      <c r="C9" s="27">
        <v>45400</v>
      </c>
    </row>
    <row r="10" spans="1:7" ht="23.25" x14ac:dyDescent="0.35">
      <c r="A10" s="24" t="s">
        <v>32</v>
      </c>
      <c r="B10" s="24">
        <v>100</v>
      </c>
      <c r="C10" s="27">
        <v>45401</v>
      </c>
    </row>
    <row r="11" spans="1:7" ht="23.25" x14ac:dyDescent="0.35">
      <c r="A11" s="24" t="s">
        <v>3</v>
      </c>
      <c r="B11" s="24">
        <v>400</v>
      </c>
      <c r="C11" s="27">
        <v>45402</v>
      </c>
    </row>
    <row r="12" spans="1:7" ht="23.25" x14ac:dyDescent="0.35">
      <c r="A12" s="24" t="s">
        <v>11</v>
      </c>
      <c r="B12" s="24">
        <v>300</v>
      </c>
      <c r="C12" s="27">
        <v>45403</v>
      </c>
    </row>
    <row r="13" spans="1:7" ht="23.25" x14ac:dyDescent="0.35">
      <c r="A13" s="24" t="s">
        <v>32</v>
      </c>
      <c r="B13" s="24">
        <v>350</v>
      </c>
      <c r="C13" s="27">
        <v>45404</v>
      </c>
    </row>
    <row r="14" spans="1:7" ht="23.25" x14ac:dyDescent="0.35">
      <c r="A14" s="24" t="s">
        <v>3</v>
      </c>
      <c r="B14" s="24">
        <v>250</v>
      </c>
      <c r="C14" s="27">
        <v>45405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E20B-2554-48E2-9BDC-81290002D948}">
  <dimension ref="A1:I20"/>
  <sheetViews>
    <sheetView workbookViewId="0">
      <selection activeCell="G21" sqref="G21"/>
    </sheetView>
  </sheetViews>
  <sheetFormatPr defaultRowHeight="15" x14ac:dyDescent="0.25"/>
  <cols>
    <col min="6" max="6" width="15.140625" bestFit="1" customWidth="1"/>
    <col min="7" max="7" width="15.28515625" customWidth="1"/>
  </cols>
  <sheetData>
    <row r="1" spans="1:9" x14ac:dyDescent="0.25">
      <c r="A1" s="28" t="s">
        <v>33</v>
      </c>
      <c r="B1" s="28">
        <v>10</v>
      </c>
      <c r="F1" s="28" t="s">
        <v>34</v>
      </c>
      <c r="G1" s="28">
        <v>10</v>
      </c>
    </row>
    <row r="2" spans="1:9" x14ac:dyDescent="0.25">
      <c r="A2" s="28" t="s">
        <v>23</v>
      </c>
      <c r="B2" s="28">
        <f>SUMIF(C5:C20,B1,B5:B20)</f>
        <v>250</v>
      </c>
      <c r="F2" s="28" t="s">
        <v>23</v>
      </c>
      <c r="G2" s="28">
        <f>SUMIF(H5:H20,"&lt;&gt;"&amp;G1,G5:G20)</f>
        <v>3150</v>
      </c>
    </row>
    <row r="4" spans="1:9" x14ac:dyDescent="0.25">
      <c r="A4" s="28" t="s">
        <v>17</v>
      </c>
      <c r="B4" s="29" t="s">
        <v>18</v>
      </c>
      <c r="C4" s="28" t="s">
        <v>35</v>
      </c>
      <c r="F4" s="28" t="s">
        <v>17</v>
      </c>
      <c r="G4" s="29" t="s">
        <v>18</v>
      </c>
      <c r="H4" s="28" t="s">
        <v>35</v>
      </c>
    </row>
    <row r="5" spans="1:9" x14ac:dyDescent="0.25">
      <c r="A5" s="28" t="s">
        <v>20</v>
      </c>
      <c r="B5" s="30">
        <v>250</v>
      </c>
      <c r="C5" s="28">
        <v>20</v>
      </c>
      <c r="F5" s="28" t="s">
        <v>20</v>
      </c>
      <c r="G5" s="30">
        <v>250</v>
      </c>
      <c r="H5" s="28">
        <v>20</v>
      </c>
    </row>
    <row r="6" spans="1:9" x14ac:dyDescent="0.25">
      <c r="A6" s="28" t="s">
        <v>22</v>
      </c>
      <c r="B6" s="30">
        <v>150</v>
      </c>
      <c r="C6" s="28">
        <v>24</v>
      </c>
      <c r="F6" s="28" t="s">
        <v>22</v>
      </c>
      <c r="G6" s="30">
        <v>150</v>
      </c>
      <c r="H6" s="28">
        <v>24</v>
      </c>
    </row>
    <row r="7" spans="1:9" x14ac:dyDescent="0.25">
      <c r="A7" s="28" t="s">
        <v>24</v>
      </c>
      <c r="B7" s="30">
        <v>200</v>
      </c>
      <c r="C7" s="28">
        <v>25</v>
      </c>
      <c r="F7" s="28" t="s">
        <v>24</v>
      </c>
      <c r="G7" s="30">
        <v>200</v>
      </c>
      <c r="H7" s="28">
        <v>25</v>
      </c>
    </row>
    <row r="8" spans="1:9" x14ac:dyDescent="0.25">
      <c r="A8" s="28" t="s">
        <v>20</v>
      </c>
      <c r="B8" s="30">
        <v>250</v>
      </c>
      <c r="C8" s="28">
        <v>10</v>
      </c>
      <c r="F8" s="28" t="s">
        <v>20</v>
      </c>
      <c r="G8" s="30">
        <v>250</v>
      </c>
      <c r="H8" s="28">
        <v>23</v>
      </c>
    </row>
    <row r="9" spans="1:9" x14ac:dyDescent="0.25">
      <c r="A9" s="28" t="s">
        <v>20</v>
      </c>
      <c r="B9" s="30">
        <v>250</v>
      </c>
      <c r="C9" s="28">
        <v>45</v>
      </c>
      <c r="F9" s="28" t="s">
        <v>20</v>
      </c>
      <c r="G9" s="30">
        <v>250</v>
      </c>
      <c r="H9" s="28">
        <v>45</v>
      </c>
    </row>
    <row r="10" spans="1:9" x14ac:dyDescent="0.25">
      <c r="A10" s="28" t="s">
        <v>22</v>
      </c>
      <c r="B10" s="30">
        <v>150</v>
      </c>
      <c r="C10" s="28">
        <v>21</v>
      </c>
      <c r="F10" s="28" t="s">
        <v>22</v>
      </c>
      <c r="G10" s="30">
        <v>150</v>
      </c>
      <c r="H10" s="28">
        <v>21</v>
      </c>
    </row>
    <row r="11" spans="1:9" x14ac:dyDescent="0.25">
      <c r="A11" s="28" t="s">
        <v>24</v>
      </c>
      <c r="B11" s="30">
        <v>200</v>
      </c>
      <c r="C11" s="28">
        <v>32</v>
      </c>
      <c r="F11" s="28" t="s">
        <v>24</v>
      </c>
      <c r="G11" s="30">
        <v>200</v>
      </c>
      <c r="H11" s="28">
        <v>32</v>
      </c>
      <c r="I11" t="s">
        <v>36</v>
      </c>
    </row>
    <row r="12" spans="1:9" x14ac:dyDescent="0.25">
      <c r="A12" s="28" t="s">
        <v>20</v>
      </c>
      <c r="B12" s="30">
        <v>250</v>
      </c>
      <c r="C12" s="28">
        <v>22</v>
      </c>
      <c r="F12" s="28" t="s">
        <v>20</v>
      </c>
      <c r="G12" s="30">
        <v>250</v>
      </c>
      <c r="H12" s="28">
        <v>22</v>
      </c>
    </row>
    <row r="13" spans="1:9" x14ac:dyDescent="0.25">
      <c r="A13" s="28" t="s">
        <v>20</v>
      </c>
      <c r="B13" s="30">
        <v>250</v>
      </c>
      <c r="C13" s="28">
        <v>12</v>
      </c>
      <c r="F13" s="28" t="s">
        <v>20</v>
      </c>
      <c r="G13" s="30">
        <v>250</v>
      </c>
      <c r="H13" s="28">
        <v>12</v>
      </c>
    </row>
    <row r="14" spans="1:9" x14ac:dyDescent="0.25">
      <c r="A14" s="28" t="s">
        <v>22</v>
      </c>
      <c r="B14" s="30">
        <v>150</v>
      </c>
      <c r="C14" s="28">
        <v>224</v>
      </c>
      <c r="F14" s="28" t="s">
        <v>22</v>
      </c>
      <c r="G14" s="30">
        <v>150</v>
      </c>
      <c r="H14" s="28">
        <v>224</v>
      </c>
    </row>
    <row r="15" spans="1:9" x14ac:dyDescent="0.25">
      <c r="A15" s="28" t="s">
        <v>24</v>
      </c>
      <c r="B15" s="30">
        <v>200</v>
      </c>
      <c r="C15" s="28">
        <v>21</v>
      </c>
      <c r="F15" s="28" t="s">
        <v>24</v>
      </c>
      <c r="G15" s="30">
        <v>200</v>
      </c>
      <c r="H15" s="28">
        <v>21</v>
      </c>
    </row>
    <row r="16" spans="1:9" x14ac:dyDescent="0.25">
      <c r="A16" s="28" t="s">
        <v>20</v>
      </c>
      <c r="B16" s="30">
        <v>250</v>
      </c>
      <c r="C16" s="28">
        <v>11</v>
      </c>
      <c r="F16" s="28" t="s">
        <v>20</v>
      </c>
      <c r="G16" s="30">
        <v>250</v>
      </c>
      <c r="H16" s="28">
        <v>11</v>
      </c>
    </row>
    <row r="17" spans="1:8" x14ac:dyDescent="0.25">
      <c r="A17" s="28" t="s">
        <v>20</v>
      </c>
      <c r="B17" s="30">
        <v>250</v>
      </c>
      <c r="C17" s="28">
        <v>22</v>
      </c>
      <c r="F17" s="28" t="s">
        <v>20</v>
      </c>
      <c r="G17" s="30">
        <v>250</v>
      </c>
      <c r="H17" s="28">
        <v>22</v>
      </c>
    </row>
    <row r="18" spans="1:8" x14ac:dyDescent="0.25">
      <c r="A18" s="28" t="s">
        <v>22</v>
      </c>
      <c r="B18" s="30">
        <v>150</v>
      </c>
      <c r="C18" s="28">
        <v>14</v>
      </c>
      <c r="F18" s="28" t="s">
        <v>22</v>
      </c>
      <c r="G18" s="30">
        <v>150</v>
      </c>
      <c r="H18" s="28">
        <v>14</v>
      </c>
    </row>
    <row r="19" spans="1:8" x14ac:dyDescent="0.25">
      <c r="A19" s="28" t="s">
        <v>24</v>
      </c>
      <c r="B19" s="30">
        <v>200</v>
      </c>
      <c r="C19" s="28">
        <v>25</v>
      </c>
      <c r="F19" s="28" t="s">
        <v>24</v>
      </c>
      <c r="G19" s="30">
        <v>200</v>
      </c>
      <c r="H19" s="28">
        <v>25</v>
      </c>
    </row>
    <row r="20" spans="1:8" x14ac:dyDescent="0.25">
      <c r="A20" s="28" t="s">
        <v>20</v>
      </c>
      <c r="B20" s="30">
        <v>250</v>
      </c>
      <c r="C20" s="28">
        <v>12</v>
      </c>
      <c r="F20" s="28" t="s">
        <v>20</v>
      </c>
      <c r="G20" s="30">
        <v>250</v>
      </c>
      <c r="H20" s="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7691-1E59-4AA6-84FF-A159C90CD6D5}">
  <dimension ref="A1:F17"/>
  <sheetViews>
    <sheetView workbookViewId="0">
      <selection sqref="A1:XFD1048576"/>
    </sheetView>
  </sheetViews>
  <sheetFormatPr defaultRowHeight="15" x14ac:dyDescent="0.25"/>
  <cols>
    <col min="5" max="5" width="20.42578125" bestFit="1" customWidth="1"/>
  </cols>
  <sheetData>
    <row r="1" spans="1:6" x14ac:dyDescent="0.25">
      <c r="A1" s="28" t="s">
        <v>17</v>
      </c>
      <c r="B1" s="28" t="s">
        <v>18</v>
      </c>
      <c r="E1" s="28" t="s">
        <v>37</v>
      </c>
      <c r="F1" s="28">
        <v>200</v>
      </c>
    </row>
    <row r="2" spans="1:6" x14ac:dyDescent="0.25">
      <c r="A2" s="28" t="s">
        <v>20</v>
      </c>
      <c r="B2" s="31">
        <v>250</v>
      </c>
      <c r="E2" s="28" t="s">
        <v>23</v>
      </c>
      <c r="F2" s="28">
        <f>SUMIF(C1:C13,"&gt;"&amp;F1,C1:C13)</f>
        <v>0</v>
      </c>
    </row>
    <row r="3" spans="1:6" x14ac:dyDescent="0.25">
      <c r="A3" s="28" t="s">
        <v>22</v>
      </c>
      <c r="B3" s="31">
        <v>150</v>
      </c>
    </row>
    <row r="4" spans="1:6" x14ac:dyDescent="0.25">
      <c r="A4" s="28" t="s">
        <v>24</v>
      </c>
      <c r="B4" s="31">
        <v>200</v>
      </c>
    </row>
    <row r="5" spans="1:6" x14ac:dyDescent="0.25">
      <c r="A5" s="28" t="s">
        <v>20</v>
      </c>
      <c r="B5" s="31">
        <v>250</v>
      </c>
    </row>
    <row r="6" spans="1:6" x14ac:dyDescent="0.25">
      <c r="A6" s="28" t="s">
        <v>20</v>
      </c>
      <c r="B6" s="31">
        <v>250</v>
      </c>
    </row>
    <row r="7" spans="1:6" x14ac:dyDescent="0.25">
      <c r="A7" s="28" t="s">
        <v>22</v>
      </c>
      <c r="B7" s="31">
        <v>150</v>
      </c>
    </row>
    <row r="8" spans="1:6" x14ac:dyDescent="0.25">
      <c r="A8" s="28" t="s">
        <v>24</v>
      </c>
      <c r="B8" s="31">
        <v>200</v>
      </c>
    </row>
    <row r="9" spans="1:6" x14ac:dyDescent="0.25">
      <c r="A9" s="28" t="s">
        <v>20</v>
      </c>
      <c r="B9" s="31">
        <v>250</v>
      </c>
    </row>
    <row r="10" spans="1:6" x14ac:dyDescent="0.25">
      <c r="A10" s="28" t="s">
        <v>20</v>
      </c>
      <c r="B10" s="31">
        <v>250</v>
      </c>
    </row>
    <row r="11" spans="1:6" x14ac:dyDescent="0.25">
      <c r="A11" s="28" t="s">
        <v>22</v>
      </c>
      <c r="B11" s="31">
        <v>150</v>
      </c>
    </row>
    <row r="12" spans="1:6" x14ac:dyDescent="0.25">
      <c r="A12" s="28" t="s">
        <v>24</v>
      </c>
      <c r="B12" s="31">
        <v>200</v>
      </c>
    </row>
    <row r="13" spans="1:6" x14ac:dyDescent="0.25">
      <c r="A13" s="28" t="s">
        <v>20</v>
      </c>
      <c r="B13" s="31">
        <v>250</v>
      </c>
    </row>
    <row r="14" spans="1:6" x14ac:dyDescent="0.25">
      <c r="A14" s="28" t="s">
        <v>20</v>
      </c>
      <c r="B14" s="31">
        <v>250</v>
      </c>
    </row>
    <row r="15" spans="1:6" x14ac:dyDescent="0.25">
      <c r="A15" s="28" t="s">
        <v>22</v>
      </c>
      <c r="B15" s="31">
        <v>150</v>
      </c>
    </row>
    <row r="16" spans="1:6" x14ac:dyDescent="0.25">
      <c r="A16" s="28" t="s">
        <v>24</v>
      </c>
      <c r="B16" s="31">
        <v>200</v>
      </c>
    </row>
    <row r="17" spans="1:2" x14ac:dyDescent="0.25">
      <c r="A17" s="28" t="s">
        <v>20</v>
      </c>
      <c r="B17" s="3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CF77-B4D6-49AB-A8B0-EA05AC540F8A}">
  <dimension ref="A1:E20"/>
  <sheetViews>
    <sheetView tabSelected="1" workbookViewId="0">
      <selection activeCell="D16" sqref="D16"/>
    </sheetView>
  </sheetViews>
  <sheetFormatPr defaultRowHeight="15" x14ac:dyDescent="0.25"/>
  <cols>
    <col min="1" max="1" width="14.42578125" customWidth="1"/>
    <col min="2" max="2" width="14.28515625" customWidth="1"/>
    <col min="4" max="4" width="32.28515625" bestFit="1" customWidth="1"/>
    <col min="5" max="5" width="9.5703125" bestFit="1" customWidth="1"/>
  </cols>
  <sheetData>
    <row r="1" spans="1:5" ht="18.75" x14ac:dyDescent="0.3">
      <c r="A1" s="11" t="s">
        <v>38</v>
      </c>
      <c r="B1" s="11" t="s">
        <v>22</v>
      </c>
      <c r="D1" s="11" t="s">
        <v>39</v>
      </c>
      <c r="E1" s="11" t="s">
        <v>22</v>
      </c>
    </row>
    <row r="2" spans="1:5" ht="18.75" x14ac:dyDescent="0.3">
      <c r="A2" s="11" t="s">
        <v>18</v>
      </c>
      <c r="B2" s="11">
        <f ca="1">SUMIF(A5:A20,B1,B5)</f>
        <v>600</v>
      </c>
      <c r="D2" s="11" t="s">
        <v>18</v>
      </c>
      <c r="E2" s="11">
        <f>SUMIF(A5:A20,"&lt;&gt;"&amp;E1,B5:B20)</f>
        <v>2800</v>
      </c>
    </row>
    <row r="4" spans="1:5" ht="18.75" x14ac:dyDescent="0.3">
      <c r="A4" s="25" t="s">
        <v>17</v>
      </c>
      <c r="B4" s="25" t="s">
        <v>18</v>
      </c>
    </row>
    <row r="5" spans="1:5" ht="18.75" x14ac:dyDescent="0.3">
      <c r="A5" s="25" t="s">
        <v>20</v>
      </c>
      <c r="B5" s="32">
        <v>250</v>
      </c>
    </row>
    <row r="6" spans="1:5" ht="18.75" x14ac:dyDescent="0.3">
      <c r="A6" s="25" t="s">
        <v>22</v>
      </c>
      <c r="B6" s="32">
        <v>150</v>
      </c>
      <c r="D6" s="33"/>
      <c r="E6" s="33"/>
    </row>
    <row r="7" spans="1:5" ht="18.75" x14ac:dyDescent="0.3">
      <c r="A7" s="25" t="s">
        <v>24</v>
      </c>
      <c r="B7" s="32">
        <v>200</v>
      </c>
      <c r="D7" s="33"/>
      <c r="E7" s="33"/>
    </row>
    <row r="8" spans="1:5" ht="18.75" x14ac:dyDescent="0.3">
      <c r="A8" s="25" t="s">
        <v>20</v>
      </c>
      <c r="B8" s="32">
        <v>250</v>
      </c>
    </row>
    <row r="9" spans="1:5" ht="18.75" x14ac:dyDescent="0.3">
      <c r="A9" s="25" t="s">
        <v>20</v>
      </c>
      <c r="B9" s="32">
        <v>250</v>
      </c>
    </row>
    <row r="10" spans="1:5" ht="18.75" x14ac:dyDescent="0.3">
      <c r="A10" s="25" t="s">
        <v>22</v>
      </c>
      <c r="B10" s="32">
        <v>150</v>
      </c>
    </row>
    <row r="11" spans="1:5" ht="18.75" x14ac:dyDescent="0.3">
      <c r="A11" s="25" t="s">
        <v>24</v>
      </c>
      <c r="B11" s="32">
        <v>200</v>
      </c>
    </row>
    <row r="12" spans="1:5" ht="18.75" x14ac:dyDescent="0.3">
      <c r="A12" s="25" t="s">
        <v>20</v>
      </c>
      <c r="B12" s="32">
        <v>250</v>
      </c>
    </row>
    <row r="13" spans="1:5" ht="18.75" x14ac:dyDescent="0.3">
      <c r="A13" s="25" t="s">
        <v>20</v>
      </c>
      <c r="B13" s="32">
        <v>250</v>
      </c>
    </row>
    <row r="14" spans="1:5" ht="18.75" x14ac:dyDescent="0.3">
      <c r="A14" s="25" t="s">
        <v>22</v>
      </c>
      <c r="B14" s="32">
        <v>150</v>
      </c>
    </row>
    <row r="15" spans="1:5" ht="18.75" x14ac:dyDescent="0.3">
      <c r="A15" s="25" t="s">
        <v>24</v>
      </c>
      <c r="B15" s="32">
        <v>200</v>
      </c>
    </row>
    <row r="16" spans="1:5" ht="18.75" x14ac:dyDescent="0.3">
      <c r="A16" s="25" t="s">
        <v>20</v>
      </c>
      <c r="B16" s="32">
        <v>250</v>
      </c>
    </row>
    <row r="17" spans="1:2" ht="18.75" x14ac:dyDescent="0.3">
      <c r="A17" s="25" t="s">
        <v>20</v>
      </c>
      <c r="B17" s="32">
        <v>250</v>
      </c>
    </row>
    <row r="18" spans="1:2" ht="18.75" x14ac:dyDescent="0.3">
      <c r="A18" s="25" t="s">
        <v>22</v>
      </c>
      <c r="B18" s="32">
        <v>150</v>
      </c>
    </row>
    <row r="19" spans="1:2" ht="18.75" x14ac:dyDescent="0.3">
      <c r="A19" s="25" t="s">
        <v>24</v>
      </c>
      <c r="B19" s="32">
        <v>200</v>
      </c>
    </row>
    <row r="20" spans="1:2" ht="18.75" x14ac:dyDescent="0.3">
      <c r="A20" s="25" t="s">
        <v>20</v>
      </c>
      <c r="B20" s="32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1E2F-E790-43F7-B2FA-9EFF4C90490A}">
  <dimension ref="A1:G17"/>
  <sheetViews>
    <sheetView workbookViewId="0">
      <selection activeCell="I17" sqref="I17"/>
    </sheetView>
  </sheetViews>
  <sheetFormatPr defaultRowHeight="15" x14ac:dyDescent="0.25"/>
  <cols>
    <col min="1" max="1" width="15.140625" style="12" customWidth="1"/>
    <col min="2" max="2" width="17.5703125" style="12" customWidth="1"/>
    <col min="3" max="6" width="9.140625" style="12"/>
    <col min="7" max="7" width="9.5703125" style="12" bestFit="1" customWidth="1"/>
    <col min="8" max="16384" width="9.140625" style="12"/>
  </cols>
  <sheetData>
    <row r="1" spans="1:7" ht="18.75" x14ac:dyDescent="0.3">
      <c r="A1" s="11" t="s">
        <v>17</v>
      </c>
      <c r="B1" s="11" t="s">
        <v>18</v>
      </c>
      <c r="F1" s="11" t="s">
        <v>19</v>
      </c>
      <c r="G1" s="11" t="s">
        <v>20</v>
      </c>
    </row>
    <row r="2" spans="1:7" ht="18.75" x14ac:dyDescent="0.3">
      <c r="A2" s="11" t="s">
        <v>20</v>
      </c>
      <c r="B2" s="13">
        <v>250</v>
      </c>
      <c r="F2" s="11" t="s">
        <v>21</v>
      </c>
      <c r="G2" s="11" t="s">
        <v>22</v>
      </c>
    </row>
    <row r="3" spans="1:7" ht="18.75" x14ac:dyDescent="0.3">
      <c r="A3" s="11" t="s">
        <v>22</v>
      </c>
      <c r="B3" s="13">
        <v>150</v>
      </c>
      <c r="F3" s="11" t="s">
        <v>23</v>
      </c>
      <c r="G3" s="14">
        <f>SUMIF(A2:A17,G1,B2:B17)+SUMIF(A2:A17,G2,B2:B17)</f>
        <v>2600</v>
      </c>
    </row>
    <row r="4" spans="1:7" ht="18.75" x14ac:dyDescent="0.3">
      <c r="A4" s="11" t="s">
        <v>24</v>
      </c>
      <c r="B4" s="13">
        <v>200</v>
      </c>
    </row>
    <row r="5" spans="1:7" ht="18.75" x14ac:dyDescent="0.3">
      <c r="A5" s="11" t="s">
        <v>20</v>
      </c>
      <c r="B5" s="13">
        <v>250</v>
      </c>
    </row>
    <row r="6" spans="1:7" ht="18.75" x14ac:dyDescent="0.3">
      <c r="A6" s="11" t="s">
        <v>20</v>
      </c>
      <c r="B6" s="13">
        <v>250</v>
      </c>
    </row>
    <row r="7" spans="1:7" ht="18.75" x14ac:dyDescent="0.3">
      <c r="A7" s="11" t="s">
        <v>22</v>
      </c>
      <c r="B7" s="13">
        <v>150</v>
      </c>
    </row>
    <row r="8" spans="1:7" ht="18.75" x14ac:dyDescent="0.3">
      <c r="A8" s="11" t="s">
        <v>24</v>
      </c>
      <c r="B8" s="13">
        <v>200</v>
      </c>
    </row>
    <row r="9" spans="1:7" ht="18.75" x14ac:dyDescent="0.3">
      <c r="A9" s="11" t="s">
        <v>20</v>
      </c>
      <c r="B9" s="13">
        <v>250</v>
      </c>
    </row>
    <row r="10" spans="1:7" ht="18.75" x14ac:dyDescent="0.3">
      <c r="A10" s="11" t="s">
        <v>20</v>
      </c>
      <c r="B10" s="13">
        <v>250</v>
      </c>
    </row>
    <row r="11" spans="1:7" ht="18.75" x14ac:dyDescent="0.3">
      <c r="A11" s="11" t="s">
        <v>22</v>
      </c>
      <c r="B11" s="13">
        <v>150</v>
      </c>
    </row>
    <row r="12" spans="1:7" ht="18.75" x14ac:dyDescent="0.3">
      <c r="A12" s="11" t="s">
        <v>24</v>
      </c>
      <c r="B12" s="13">
        <v>200</v>
      </c>
    </row>
    <row r="13" spans="1:7" ht="18.75" x14ac:dyDescent="0.3">
      <c r="A13" s="11" t="s">
        <v>20</v>
      </c>
      <c r="B13" s="13">
        <v>250</v>
      </c>
    </row>
    <row r="14" spans="1:7" ht="18.75" x14ac:dyDescent="0.3">
      <c r="A14" s="11" t="s">
        <v>20</v>
      </c>
      <c r="B14" s="13">
        <v>250</v>
      </c>
    </row>
    <row r="15" spans="1:7" ht="18.75" x14ac:dyDescent="0.3">
      <c r="A15" s="11" t="s">
        <v>22</v>
      </c>
      <c r="B15" s="13">
        <v>150</v>
      </c>
    </row>
    <row r="16" spans="1:7" ht="18.75" x14ac:dyDescent="0.3">
      <c r="A16" s="11" t="s">
        <v>24</v>
      </c>
      <c r="B16" s="13">
        <v>200</v>
      </c>
    </row>
    <row r="17" spans="1:2" ht="18.75" x14ac:dyDescent="0.3">
      <c r="A17" s="11" t="s">
        <v>20</v>
      </c>
      <c r="B17" s="1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Sumifs with multiple criteria</vt:lpstr>
      <vt:lpstr>Sumif blank &amp; non-Black</vt:lpstr>
      <vt:lpstr>Sumif formula for Date</vt:lpstr>
      <vt:lpstr>Sumif equal &amp; not equal to</vt:lpstr>
      <vt:lpstr>SUMIF greater than</vt:lpstr>
      <vt:lpstr>SUMIF with Text critera</vt:lpstr>
      <vt:lpstr>Sumif with multiple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2026-04-20T09:25:06Z</dcterms:created>
  <dcterms:modified xsi:type="dcterms:W3CDTF">2026-04-20T09:32:19Z</dcterms:modified>
</cp:coreProperties>
</file>