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801D1FD5-9109-4009-935F-9310F3DD48B4}" xr6:coauthVersionLast="36" xr6:coauthVersionMax="36" xr10:uidLastSave="{00000000-0000-0000-0000-000000000000}"/>
  <bookViews>
    <workbookView xWindow="0" yWindow="0" windowWidth="20490" windowHeight="7545" firstSheet="1" activeTab="1" xr2:uid="{F5EBB177-1009-4100-B400-880041D0443D}"/>
  </bookViews>
  <sheets>
    <sheet name="IF_IFS" sheetId="1" r:id="rId1"/>
    <sheet name="Vlookup_hide row" sheetId="3" r:id="rId2"/>
    <sheet name="Vlookup(Sort)" sheetId="6" r:id="rId3"/>
    <sheet name="DropDown_Vlookup" sheetId="7" r:id="rId4"/>
    <sheet name="Match_Index" sheetId="8" r:id="rId5"/>
    <sheet name="Vlookup_Dunamic" sheetId="5" r:id="rId6"/>
    <sheet name="Vlookup" sheetId="4" r:id="rId7"/>
    <sheet name="AND_OR" sheetId="2" r:id="rId8"/>
  </sheets>
  <definedNames>
    <definedName name="Emp_type">'Vlookup(Sort)'!$H$2:$I$8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8" l="1"/>
  <c r="C15" i="8"/>
  <c r="C14" i="8"/>
  <c r="H5" i="7" l="1"/>
  <c r="H4" i="7"/>
  <c r="H7" i="7"/>
  <c r="F3" i="6"/>
  <c r="F4" i="6"/>
  <c r="F5" i="6"/>
  <c r="F6" i="6"/>
  <c r="F7" i="6"/>
  <c r="F8" i="6"/>
  <c r="F9" i="6"/>
  <c r="F10" i="6"/>
  <c r="F11" i="6"/>
  <c r="F12" i="6"/>
  <c r="F13" i="6"/>
  <c r="F2" i="6"/>
  <c r="H4" i="5"/>
  <c r="H5" i="5"/>
  <c r="H6" i="5"/>
  <c r="H3" i="5"/>
  <c r="I4" i="3"/>
  <c r="I5" i="3"/>
  <c r="I6" i="3"/>
  <c r="I3" i="3"/>
  <c r="H6" i="4"/>
  <c r="H5" i="4"/>
  <c r="H4" i="4"/>
  <c r="H3" i="4"/>
  <c r="E3" i="2"/>
  <c r="E4" i="2"/>
  <c r="E5" i="2"/>
  <c r="E6" i="2"/>
  <c r="E7" i="2"/>
  <c r="E8" i="2"/>
  <c r="E9" i="2"/>
  <c r="E10" i="2"/>
  <c r="E11" i="2"/>
  <c r="E12" i="2"/>
  <c r="E13" i="2"/>
  <c r="E2" i="2"/>
  <c r="F3" i="2"/>
  <c r="F4" i="2"/>
  <c r="F5" i="2"/>
  <c r="F6" i="2"/>
  <c r="F7" i="2"/>
  <c r="F8" i="2"/>
  <c r="F9" i="2"/>
  <c r="F10" i="2"/>
  <c r="F11" i="2"/>
  <c r="F12" i="2"/>
  <c r="F13" i="2"/>
  <c r="F2" i="2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<sst xmlns="http://schemas.openxmlformats.org/spreadsheetml/2006/main" count="433" uniqueCount="145">
  <si>
    <t>Emp ID</t>
  </si>
  <si>
    <t>Salesman</t>
  </si>
  <si>
    <t>Department</t>
  </si>
  <si>
    <t>Sales</t>
  </si>
  <si>
    <t>Target status</t>
  </si>
  <si>
    <t>Incentive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</si>
  <si>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</si>
  <si>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</si>
  <si>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</si>
  <si>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</si>
  <si>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</si>
  <si>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</si>
  <si>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</si>
  <si>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</si>
  <si>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</si>
  <si>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</si>
  <si>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</si>
  <si>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</si>
  <si>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</si>
  <si>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</si>
  <si>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</si>
  <si>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</si>
  <si>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</si>
  <si>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</si>
  <si>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</si>
  <si>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</si>
  <si>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</si>
  <si>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</si>
  <si>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</si>
  <si>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</si>
  <si>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</si>
  <si>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Target Condition</t>
  </si>
  <si>
    <t>Sales Achieved</t>
  </si>
  <si>
    <t>Status</t>
  </si>
  <si>
    <t>&gt;=50000</t>
  </si>
  <si>
    <t xml:space="preserve">Completed </t>
  </si>
  <si>
    <t>&lt;50000</t>
  </si>
  <si>
    <t>Incomplete</t>
  </si>
  <si>
    <t>INCENTIVE CALCULATION</t>
  </si>
  <si>
    <t>Percentage</t>
  </si>
  <si>
    <t>75000&gt;</t>
  </si>
  <si>
    <t>50000&gt;</t>
  </si>
  <si>
    <t>Name</t>
  </si>
  <si>
    <t>Working (years)</t>
  </si>
  <si>
    <t>Salary</t>
  </si>
  <si>
    <t>Both</t>
  </si>
  <si>
    <t>Promotion</t>
  </si>
  <si>
    <t>5&gt;</t>
  </si>
  <si>
    <t>Yes</t>
  </si>
  <si>
    <t>OR</t>
  </si>
  <si>
    <t>of AND</t>
  </si>
  <si>
    <t>AND(Pro)</t>
  </si>
  <si>
    <t>OR(PRO)</t>
  </si>
  <si>
    <t>Employee ID</t>
  </si>
  <si>
    <t>Joining Date</t>
  </si>
  <si>
    <t>emp_type</t>
  </si>
  <si>
    <t>Greater than</t>
  </si>
  <si>
    <t>Grade5</t>
  </si>
  <si>
    <t>Emp_type</t>
  </si>
  <si>
    <t>Grade4</t>
  </si>
  <si>
    <t>Grade6</t>
  </si>
  <si>
    <t>Grade1</t>
  </si>
  <si>
    <t>Grade3</t>
  </si>
  <si>
    <t>Grade2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</si>
  <si>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</si>
  <si>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</si>
  <si>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</si>
  <si>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</si>
  <si>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</si>
  <si>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</si>
  <si>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</si>
  <si>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</si>
  <si>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</si>
  <si>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</si>
  <si>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</si>
  <si>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</si>
  <si>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</si>
  <si>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</si>
  <si>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</si>
  <si>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</si>
  <si>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</si>
  <si>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</si>
  <si>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</si>
  <si>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</si>
  <si>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</si>
  <si>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</si>
  <si>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</si>
  <si>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</si>
  <si>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</si>
  <si>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</si>
  <si>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</si>
  <si>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</si>
  <si>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</si>
  <si>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</si>
  <si>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</si>
  <si>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</si>
  <si>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</si>
  <si>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</si>
  <si>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</si>
  <si>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</si>
  <si>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</si>
  <si>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</si>
  <si>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</si>
  <si>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</si>
  <si>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</si>
  <si>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</si>
  <si>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</si>
  <si>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</si>
  <si>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</si>
  <si>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</si>
  <si>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</si>
  <si>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</si>
  <si>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</si>
  <si>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</si>
  <si>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</si>
  <si>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</si>
  <si>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</si>
  <si>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</si>
  <si>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</si>
  <si>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</si>
  <si>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</si>
  <si>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</si>
  <si>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</si>
  <si>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</si>
  <si>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</si>
  <si>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</si>
  <si>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</si>
  <si>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</si>
  <si>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</si>
  <si>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</si>
  <si>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</si>
  <si>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</si>
  <si>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</si>
  <si>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</si>
  <si>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</si>
  <si>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</si>
  <si>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</si>
  <si>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</si>
  <si>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</si>
  <si>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Row</t>
  </si>
  <si>
    <t>column</t>
  </si>
  <si>
    <t>Horizentaly ------------</t>
  </si>
  <si>
    <t>By numbers 1,2,3.</t>
  </si>
  <si>
    <t>Verticaly   |</t>
  </si>
  <si>
    <t>Column A, B,C,D,E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</si>
</sst>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164" fontId="1" fillId="2" borderId="1" xfId="0" applyNumberFormat="1" applyFont="1" applyFill="1" applyBorder="1" applyAlignment="1">
      <alignment horizontal="center" vertical="top"/>
    </xf>
    <xf numFmtId="16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/>
    <xf numFmtId="164" fontId="1" fillId="2" borderId="0" xfId="0" applyNumberFormat="1" applyFont="1" applyFill="1" applyBorder="1" applyAlignment="1">
      <alignment horizontal="center" vertical="top"/>
    </xf>
    <xf numFmtId="164" fontId="2" fillId="0" borderId="0" xfId="0" applyNumberFormat="1" applyFont="1" applyBorder="1"/>
    <xf numFmtId="0" fontId="0" fillId="0" borderId="0" xfId="0"/>
    <xf numFmtId="14" fontId="1" fillId="2" borderId="1" xfId="0" applyNumberFormat="1" applyFont="1" applyFill="1" applyBorder="1" applyAlignment="1">
      <alignment horizontal="center" vertical="top"/>
    </xf>
    <xf numFmtId="14" fontId="2" fillId="0" borderId="1" xfId="0" applyNumberFormat="1" applyFont="1" applyBorder="1"/>
    <xf numFmtId="14" fontId="2" fillId="0" borderId="0" xfId="0" applyNumberFormat="1" applyFont="1" applyBorder="1"/>
    <xf numFmtId="14" fontId="1" fillId="0" borderId="0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996A-34A9-4BC7-91FF-22C4D51B2857}">
  <dimension ref="A1:L13"/>
  <sheetViews>
    <sheetView workbookViewId="0">
      <selection activeCell="G3" sqref="G3"/>
    </sheetView>
  </sheetViews>
  <sheetFormatPr defaultRowHeight="15" x14ac:dyDescent="0.25"/>
  <cols>
    <col min="1" max="1" width="11.5703125" bestFit="1" customWidth="1"/>
    <col min="2" max="2" width="18.140625" bestFit="1" customWidth="1"/>
    <col min="3" max="3" width="16.42578125" bestFit="1" customWidth="1"/>
    <col min="5" max="5" width="17.28515625" bestFit="1" customWidth="1"/>
    <col min="6" max="6" width="12.85546875" bestFit="1" customWidth="1"/>
    <col min="11" max="11" width="22.140625" bestFit="1" customWidth="1"/>
    <col min="12" max="12" width="15" bestFit="1" customWidth="1"/>
  </cols>
  <sheetData>
    <row r="1" spans="1:12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K1" s="4" t="s">
        <v>31</v>
      </c>
      <c r="L1" s="5"/>
    </row>
    <row r="2" spans="1:12" ht="21" x14ac:dyDescent="0.35">
      <c r="A2" s="3" t="s">
        <v>6</v>
      </c>
      <c r="B2" s="3" t="s">
        <v>7</v>
      </c>
      <c r="C2" s="3" t="s">
        <v>8</v>
      </c>
      <c r="D2" s="3">
        <v>72704</v>
      </c>
      <c r="E2" s="3" t="str">
        <f>IF(D2&gt;50000,"Completed","Incompleted")</f>
        <v>Completed</v>
      </c>
      <c r="F2" s="3">
        <f>_xlfn.IFS(D2&gt;75000,D2*20%,D2&gt;50000,D2*15%,D2&lt;=50000,D2*10%)</f>
        <v>10905.6</v>
      </c>
      <c r="K2" s="5" t="s">
        <v>32</v>
      </c>
      <c r="L2" s="5" t="s">
        <v>33</v>
      </c>
    </row>
    <row r="3" spans="1:12" ht="21" x14ac:dyDescent="0.35">
      <c r="A3" s="3" t="s">
        <v>9</v>
      </c>
      <c r="B3" s="3" t="s">
        <v>10</v>
      </c>
      <c r="C3" s="3" t="s">
        <v>11</v>
      </c>
      <c r="D3" s="3">
        <v>44718</v>
      </c>
      <c r="E3" s="3" t="str">
        <f t="shared" ref="E3:E13" si="0">IF(D3&gt;50000,"Completed","Incompleted")</f>
        <v>Incompleted</v>
      </c>
      <c r="F3" s="3">
        <f t="shared" ref="F3:F13" si="1">_xlfn.IFS(D3&gt;75000,D3*20%,D3&gt;50000,D3*15%,D3&lt;=50000,D3*10%)</f>
        <v>4471.8</v>
      </c>
      <c r="K3" s="5" t="s">
        <v>34</v>
      </c>
      <c r="L3" s="5" t="s">
        <v>35</v>
      </c>
    </row>
    <row r="4" spans="1:12" ht="21" x14ac:dyDescent="0.35">
      <c r="A4" s="3" t="s">
        <v>12</v>
      </c>
      <c r="B4" s="3" t="s">
        <v>13</v>
      </c>
      <c r="C4" s="3" t="s">
        <v>3</v>
      </c>
      <c r="D4" s="3">
        <v>35210</v>
      </c>
      <c r="E4" s="3" t="str">
        <f t="shared" si="0"/>
        <v>Incompleted</v>
      </c>
      <c r="F4" s="3">
        <f t="shared" si="1"/>
        <v>3521</v>
      </c>
      <c r="K4" s="5" t="s">
        <v>36</v>
      </c>
      <c r="L4" s="5" t="s">
        <v>37</v>
      </c>
    </row>
    <row r="5" spans="1:12" ht="21" x14ac:dyDescent="0.35">
      <c r="A5" s="3" t="s">
        <v>14</v>
      </c>
      <c r="B5" s="3" t="s">
        <v>15</v>
      </c>
      <c r="C5" s="3" t="s">
        <v>8</v>
      </c>
      <c r="D5" s="3">
        <v>30681</v>
      </c>
      <c r="E5" s="3" t="str">
        <f t="shared" si="0"/>
        <v>Incompleted</v>
      </c>
      <c r="F5" s="3">
        <f t="shared" si="1"/>
        <v>3068.1000000000004</v>
      </c>
    </row>
    <row r="6" spans="1:12" ht="21" x14ac:dyDescent="0.35">
      <c r="A6" s="3" t="s">
        <v>16</v>
      </c>
      <c r="B6" s="3" t="s">
        <v>17</v>
      </c>
      <c r="C6" s="3" t="s">
        <v>11</v>
      </c>
      <c r="D6" s="3">
        <v>47487</v>
      </c>
      <c r="E6" s="3" t="str">
        <f t="shared" si="0"/>
        <v>Incompleted</v>
      </c>
      <c r="F6" s="3">
        <f t="shared" si="1"/>
        <v>4748.7</v>
      </c>
      <c r="K6" s="22" t="s">
        <v>38</v>
      </c>
      <c r="L6" s="22"/>
    </row>
    <row r="7" spans="1:12" ht="21" x14ac:dyDescent="0.35">
      <c r="A7" s="3" t="s">
        <v>18</v>
      </c>
      <c r="B7" s="3" t="s">
        <v>13</v>
      </c>
      <c r="C7" s="3" t="s">
        <v>11</v>
      </c>
      <c r="D7" s="3">
        <v>75613</v>
      </c>
      <c r="E7" s="3" t="str">
        <f t="shared" si="0"/>
        <v>Completed</v>
      </c>
      <c r="F7" s="3">
        <f t="shared" si="1"/>
        <v>15122.6</v>
      </c>
      <c r="K7" s="5" t="s">
        <v>3</v>
      </c>
      <c r="L7" s="5" t="s">
        <v>39</v>
      </c>
    </row>
    <row r="8" spans="1:12" ht="21" x14ac:dyDescent="0.35">
      <c r="A8" s="3" t="s">
        <v>19</v>
      </c>
      <c r="B8" s="3" t="s">
        <v>20</v>
      </c>
      <c r="C8" s="3" t="s">
        <v>3</v>
      </c>
      <c r="D8" s="3">
        <v>63671</v>
      </c>
      <c r="E8" s="3" t="str">
        <f t="shared" si="0"/>
        <v>Completed</v>
      </c>
      <c r="F8" s="3">
        <f t="shared" si="1"/>
        <v>9550.65</v>
      </c>
      <c r="K8" s="5" t="s">
        <v>40</v>
      </c>
      <c r="L8" s="6">
        <v>0.2</v>
      </c>
    </row>
    <row r="9" spans="1:12" ht="21" x14ac:dyDescent="0.35">
      <c r="A9" s="3" t="s">
        <v>21</v>
      </c>
      <c r="B9" s="3" t="s">
        <v>22</v>
      </c>
      <c r="C9" s="3" t="s">
        <v>8</v>
      </c>
      <c r="D9" s="3">
        <v>38966</v>
      </c>
      <c r="E9" s="3" t="str">
        <f t="shared" si="0"/>
        <v>Incompleted</v>
      </c>
      <c r="F9" s="3">
        <f t="shared" si="1"/>
        <v>3896.6000000000004</v>
      </c>
      <c r="K9" s="5" t="s">
        <v>41</v>
      </c>
      <c r="L9" s="6">
        <v>0.15</v>
      </c>
    </row>
    <row r="10" spans="1:12" ht="21" x14ac:dyDescent="0.35">
      <c r="A10" s="3" t="s">
        <v>23</v>
      </c>
      <c r="B10" s="3" t="s">
        <v>24</v>
      </c>
      <c r="C10" s="3" t="s">
        <v>11</v>
      </c>
      <c r="D10" s="3">
        <v>77052</v>
      </c>
      <c r="E10" s="3" t="str">
        <f t="shared" si="0"/>
        <v>Completed</v>
      </c>
      <c r="F10" s="3">
        <f t="shared" si="1"/>
        <v>15410.400000000001</v>
      </c>
      <c r="K10" s="5" t="s">
        <v>36</v>
      </c>
      <c r="L10" s="6">
        <v>0.1</v>
      </c>
    </row>
    <row r="11" spans="1:12" ht="21" x14ac:dyDescent="0.35">
      <c r="A11" s="3" t="s">
        <v>25</v>
      </c>
      <c r="B11" s="3" t="s">
        <v>26</v>
      </c>
      <c r="C11" s="3" t="s">
        <v>3</v>
      </c>
      <c r="D11" s="3">
        <v>86570</v>
      </c>
      <c r="E11" s="3" t="str">
        <f t="shared" si="0"/>
        <v>Completed</v>
      </c>
      <c r="F11" s="3">
        <f t="shared" si="1"/>
        <v>17314</v>
      </c>
    </row>
    <row r="12" spans="1:12" ht="21" x14ac:dyDescent="0.35">
      <c r="A12" s="3" t="s">
        <v>27</v>
      </c>
      <c r="B12" s="3" t="s">
        <v>28</v>
      </c>
      <c r="C12" s="3" t="s">
        <v>3</v>
      </c>
      <c r="D12" s="3">
        <v>30250</v>
      </c>
      <c r="E12" s="3" t="str">
        <f t="shared" si="0"/>
        <v>Incompleted</v>
      </c>
      <c r="F12" s="3">
        <f t="shared" si="1"/>
        <v>3025</v>
      </c>
    </row>
    <row r="13" spans="1:12" ht="21" x14ac:dyDescent="0.35">
      <c r="A13" s="3" t="s">
        <v>29</v>
      </c>
      <c r="B13" s="3" t="s">
        <v>30</v>
      </c>
      <c r="C13" s="3" t="s">
        <v>11</v>
      </c>
      <c r="D13" s="3">
        <v>71584</v>
      </c>
      <c r="E13" s="3" t="str">
        <f t="shared" si="0"/>
        <v>Completed</v>
      </c>
      <c r="F13" s="3">
        <f t="shared" si="1"/>
        <v>10737.6</v>
      </c>
    </row>
  </sheetData>
  <mergeCells count="1">
    <mergeCell ref="K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371B-412A-402C-8051-D30785BC445F}">
  <dimension ref="A1:K13"/>
  <sheetViews>
    <sheetView tabSelected="1" workbookViewId="0">
      <selection activeCell="B11" sqref="B11"/>
    </sheetView>
  </sheetViews>
  <sheetFormatPr defaultRowHeight="15" x14ac:dyDescent="0.25"/>
  <cols>
    <col min="1" max="1" width="17.140625" style="13" bestFit="1" customWidth="1"/>
    <col min="2" max="2" width="18.140625" style="13" bestFit="1" customWidth="1"/>
    <col min="3" max="3" width="16.42578125" style="13" bestFit="1" customWidth="1"/>
    <col min="4" max="4" width="17.7109375" style="13" bestFit="1" customWidth="1"/>
    <col min="5" max="5" width="16.5703125" style="13" bestFit="1" customWidth="1"/>
    <col min="6" max="6" width="8.85546875" style="13" customWidth="1"/>
    <col min="7" max="7" width="9.28515625" style="13" hidden="1" customWidth="1"/>
    <col min="8" max="8" width="17.140625" style="13" bestFit="1" customWidth="1"/>
    <col min="9" max="9" width="16.42578125" style="13" bestFit="1" customWidth="1"/>
    <col min="10" max="10" width="9.140625" style="13"/>
    <col min="11" max="11" width="2.85546875" style="13" bestFit="1" customWidth="1"/>
    <col min="12" max="16384" width="9.140625" style="13"/>
  </cols>
  <sheetData>
    <row r="1" spans="1:11" ht="21" x14ac:dyDescent="0.35">
      <c r="A1" s="1" t="s">
        <v>53</v>
      </c>
      <c r="B1" s="1" t="s">
        <v>42</v>
      </c>
      <c r="C1" s="1" t="s">
        <v>2</v>
      </c>
      <c r="D1" s="7" t="s">
        <v>44</v>
      </c>
      <c r="E1" s="14" t="s">
        <v>54</v>
      </c>
      <c r="F1" s="17"/>
      <c r="G1" s="5"/>
      <c r="H1" s="5"/>
      <c r="I1" s="5"/>
      <c r="J1" s="5"/>
      <c r="K1" s="5"/>
    </row>
    <row r="2" spans="1:11" ht="21" x14ac:dyDescent="0.35">
      <c r="A2" s="3" t="s">
        <v>6</v>
      </c>
      <c r="B2" s="3" t="s">
        <v>7</v>
      </c>
      <c r="C2" s="3" t="s">
        <v>8</v>
      </c>
      <c r="D2" s="8">
        <v>41954</v>
      </c>
      <c r="E2" s="15">
        <v>43831</v>
      </c>
      <c r="F2" s="16"/>
      <c r="G2" s="5">
        <v>1</v>
      </c>
      <c r="H2" s="1" t="s">
        <v>53</v>
      </c>
      <c r="I2" s="5" t="s">
        <v>16</v>
      </c>
      <c r="J2" s="5"/>
      <c r="K2" s="5"/>
    </row>
    <row r="3" spans="1:11" ht="21" x14ac:dyDescent="0.35">
      <c r="A3" s="3" t="s">
        <v>9</v>
      </c>
      <c r="B3" s="3" t="s">
        <v>10</v>
      </c>
      <c r="C3" s="3" t="s">
        <v>11</v>
      </c>
      <c r="D3" s="8">
        <v>49855</v>
      </c>
      <c r="E3" s="15">
        <v>43832</v>
      </c>
      <c r="F3" s="16"/>
      <c r="G3" s="5">
        <v>2</v>
      </c>
      <c r="H3" s="1" t="s">
        <v>42</v>
      </c>
      <c r="I3" s="5" t="str">
        <f>VLOOKUP($I$2,$A$1:$E$13,G3,1)</f>
        <v>Employee_5</v>
      </c>
      <c r="J3" s="5"/>
      <c r="K3" s="5"/>
    </row>
    <row r="4" spans="1:11" ht="21" x14ac:dyDescent="0.35">
      <c r="A4" s="3" t="s">
        <v>12</v>
      </c>
      <c r="B4" s="3" t="s">
        <v>13</v>
      </c>
      <c r="C4" s="3" t="s">
        <v>3</v>
      </c>
      <c r="D4" s="8">
        <v>94210</v>
      </c>
      <c r="E4" s="15">
        <v>43833</v>
      </c>
      <c r="F4" s="16"/>
      <c r="G4" s="5">
        <v>3</v>
      </c>
      <c r="H4" s="1" t="s">
        <v>2</v>
      </c>
      <c r="I4" s="5" t="str">
        <f t="shared" ref="I4:I6" si="0">VLOOKUP($I$2,$A$1:$E$13,G4,1)</f>
        <v>Operations</v>
      </c>
      <c r="J4" s="5"/>
      <c r="K4" s="5"/>
    </row>
    <row r="5" spans="1:11" ht="21" x14ac:dyDescent="0.35">
      <c r="A5" s="3" t="s">
        <v>14</v>
      </c>
      <c r="B5" s="3" t="s">
        <v>15</v>
      </c>
      <c r="C5" s="3" t="s">
        <v>8</v>
      </c>
      <c r="D5" s="8">
        <v>74689</v>
      </c>
      <c r="E5" s="15">
        <v>43834</v>
      </c>
      <c r="F5" s="16"/>
      <c r="G5" s="5">
        <v>4</v>
      </c>
      <c r="H5" s="7" t="s">
        <v>44</v>
      </c>
      <c r="I5" s="5">
        <f t="shared" si="0"/>
        <v>90652</v>
      </c>
      <c r="J5" s="5"/>
      <c r="K5" s="5"/>
    </row>
    <row r="6" spans="1:11" ht="21" x14ac:dyDescent="0.35">
      <c r="A6" s="3" t="s">
        <v>16</v>
      </c>
      <c r="B6" s="3" t="s">
        <v>17</v>
      </c>
      <c r="C6" s="3" t="s">
        <v>11</v>
      </c>
      <c r="D6" s="8">
        <v>90652</v>
      </c>
      <c r="E6" s="15">
        <v>43835</v>
      </c>
      <c r="F6" s="16"/>
      <c r="G6" s="5">
        <v>5</v>
      </c>
      <c r="H6" s="14" t="s">
        <v>54</v>
      </c>
      <c r="I6" s="5">
        <f t="shared" si="0"/>
        <v>43835</v>
      </c>
      <c r="J6" s="5"/>
      <c r="K6" s="5"/>
    </row>
    <row r="7" spans="1:11" ht="21" x14ac:dyDescent="0.35">
      <c r="A7" s="3" t="s">
        <v>18</v>
      </c>
      <c r="B7" s="3" t="s">
        <v>13</v>
      </c>
      <c r="C7" s="3" t="s">
        <v>11</v>
      </c>
      <c r="D7" s="8">
        <v>74820</v>
      </c>
      <c r="E7" s="15">
        <v>43836</v>
      </c>
      <c r="F7" s="16"/>
      <c r="G7" s="5"/>
      <c r="H7" s="5"/>
      <c r="I7" s="5"/>
      <c r="J7" s="5"/>
      <c r="K7" s="5"/>
    </row>
    <row r="8" spans="1:11" ht="21" x14ac:dyDescent="0.35">
      <c r="A8" s="3" t="s">
        <v>19</v>
      </c>
      <c r="B8" s="3" t="s">
        <v>20</v>
      </c>
      <c r="C8" s="3" t="s">
        <v>3</v>
      </c>
      <c r="D8" s="8">
        <v>85206</v>
      </c>
      <c r="E8" s="15">
        <v>43837</v>
      </c>
      <c r="F8" s="16"/>
      <c r="G8" s="5"/>
      <c r="H8" s="5"/>
      <c r="I8" s="5"/>
      <c r="J8" s="5"/>
      <c r="K8" s="5"/>
    </row>
    <row r="9" spans="1:11" ht="21" x14ac:dyDescent="0.35">
      <c r="A9" s="3" t="s">
        <v>21</v>
      </c>
      <c r="B9" s="3" t="s">
        <v>22</v>
      </c>
      <c r="C9" s="3" t="s">
        <v>8</v>
      </c>
      <c r="D9" s="8">
        <v>30924</v>
      </c>
      <c r="E9" s="15">
        <v>43838</v>
      </c>
      <c r="F9" s="16"/>
      <c r="G9" s="5"/>
      <c r="H9" s="5"/>
      <c r="I9" s="5"/>
      <c r="J9" s="5"/>
      <c r="K9" s="5"/>
    </row>
    <row r="10" spans="1:11" ht="21" x14ac:dyDescent="0.35">
      <c r="A10" s="3" t="s">
        <v>23</v>
      </c>
      <c r="B10" s="3" t="s">
        <v>24</v>
      </c>
      <c r="C10" s="3" t="s">
        <v>11</v>
      </c>
      <c r="D10" s="8">
        <v>57737</v>
      </c>
      <c r="E10" s="15">
        <v>43839</v>
      </c>
      <c r="F10" s="16"/>
      <c r="G10" s="5"/>
      <c r="H10" s="5"/>
      <c r="I10" s="5"/>
      <c r="J10" s="5"/>
      <c r="K10" s="5"/>
    </row>
    <row r="11" spans="1:11" ht="21" x14ac:dyDescent="0.35">
      <c r="A11" s="3" t="s">
        <v>25</v>
      </c>
      <c r="B11" s="3" t="s">
        <v>26</v>
      </c>
      <c r="C11" s="3" t="s">
        <v>3</v>
      </c>
      <c r="D11" s="8">
        <v>36000</v>
      </c>
      <c r="E11" s="15">
        <v>43840</v>
      </c>
      <c r="F11" s="16"/>
      <c r="G11" s="5"/>
      <c r="H11" s="5"/>
      <c r="I11" s="5"/>
      <c r="J11" s="5"/>
      <c r="K11" s="5"/>
    </row>
    <row r="12" spans="1:11" ht="21" x14ac:dyDescent="0.35">
      <c r="A12" s="3" t="s">
        <v>27</v>
      </c>
      <c r="B12" s="3" t="s">
        <v>28</v>
      </c>
      <c r="C12" s="3" t="s">
        <v>3</v>
      </c>
      <c r="D12" s="8">
        <v>96371</v>
      </c>
      <c r="E12" s="15">
        <v>43841</v>
      </c>
      <c r="F12" s="16"/>
      <c r="G12" s="5"/>
      <c r="H12" s="5"/>
      <c r="I12" s="5"/>
      <c r="J12" s="5"/>
      <c r="K12" s="5"/>
    </row>
    <row r="13" spans="1:11" ht="21" x14ac:dyDescent="0.35">
      <c r="A13" s="3" t="s">
        <v>29</v>
      </c>
      <c r="B13" s="3" t="s">
        <v>30</v>
      </c>
      <c r="C13" s="3" t="s">
        <v>11</v>
      </c>
      <c r="D13" s="8">
        <v>85028</v>
      </c>
      <c r="E13" s="15">
        <v>43842</v>
      </c>
      <c r="F13" s="16"/>
      <c r="G13" s="5"/>
      <c r="H13" s="5"/>
      <c r="I13" s="5"/>
      <c r="J13" s="5"/>
      <c r="K1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6689-1B6C-4700-98AB-C3A77D505DAB}">
  <dimension ref="A1:I13"/>
  <sheetViews>
    <sheetView workbookViewId="0">
      <selection activeCell="F10" sqref="F10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16.42578125" bestFit="1" customWidth="1"/>
    <col min="4" max="4" width="17.7109375" bestFit="1" customWidth="1"/>
    <col min="5" max="5" width="16.5703125" bestFit="1" customWidth="1"/>
    <col min="6" max="6" width="14" bestFit="1" customWidth="1"/>
    <col min="8" max="8" width="16.85546875" bestFit="1" customWidth="1"/>
    <col min="9" max="9" width="13.7109375" bestFit="1" customWidth="1"/>
  </cols>
  <sheetData>
    <row r="1" spans="1:9" ht="21" x14ac:dyDescent="0.35">
      <c r="A1" s="1" t="s">
        <v>53</v>
      </c>
      <c r="B1" s="1" t="s">
        <v>42</v>
      </c>
      <c r="C1" s="1" t="s">
        <v>2</v>
      </c>
      <c r="D1" s="7" t="s">
        <v>44</v>
      </c>
      <c r="E1" s="14" t="s">
        <v>54</v>
      </c>
      <c r="F1" s="2" t="s">
        <v>55</v>
      </c>
      <c r="G1" s="5"/>
      <c r="H1" s="5" t="s">
        <v>56</v>
      </c>
      <c r="I1" s="5"/>
    </row>
    <row r="2" spans="1:9" ht="21" x14ac:dyDescent="0.35">
      <c r="A2" s="3" t="s">
        <v>6</v>
      </c>
      <c r="B2" s="3" t="s">
        <v>7</v>
      </c>
      <c r="C2" s="3" t="s">
        <v>8</v>
      </c>
      <c r="D2" s="8">
        <v>41954</v>
      </c>
      <c r="E2" s="15">
        <v>43831</v>
      </c>
      <c r="F2" s="5" t="str">
        <f t="shared" ref="F2:F13" si="0">VLOOKUP(D2,Emp_type,2,1)</f>
        <v>Grade5</v>
      </c>
      <c r="G2" s="5"/>
      <c r="H2" s="5" t="s">
        <v>44</v>
      </c>
      <c r="I2" s="5" t="s">
        <v>58</v>
      </c>
    </row>
    <row r="3" spans="1:9" ht="21" x14ac:dyDescent="0.35">
      <c r="A3" s="3" t="s">
        <v>9</v>
      </c>
      <c r="B3" s="3" t="s">
        <v>10</v>
      </c>
      <c r="C3" s="3" t="s">
        <v>11</v>
      </c>
      <c r="D3" s="8">
        <v>49855</v>
      </c>
      <c r="E3" s="15">
        <v>43832</v>
      </c>
      <c r="F3" s="5" t="str">
        <f t="shared" si="0"/>
        <v>Grade4</v>
      </c>
      <c r="G3" s="5"/>
      <c r="H3" s="5">
        <v>15000</v>
      </c>
      <c r="I3" s="5" t="s">
        <v>60</v>
      </c>
    </row>
    <row r="4" spans="1:9" ht="21" x14ac:dyDescent="0.35">
      <c r="A4" s="3" t="s">
        <v>12</v>
      </c>
      <c r="B4" s="3" t="s">
        <v>13</v>
      </c>
      <c r="C4" s="3" t="s">
        <v>3</v>
      </c>
      <c r="D4" s="8">
        <v>94210</v>
      </c>
      <c r="E4" s="15">
        <v>43833</v>
      </c>
      <c r="F4" s="5" t="str">
        <f t="shared" si="0"/>
        <v>Grade1</v>
      </c>
      <c r="G4" s="5"/>
      <c r="H4" s="5">
        <v>30000</v>
      </c>
      <c r="I4" s="5" t="s">
        <v>57</v>
      </c>
    </row>
    <row r="5" spans="1:9" ht="21" x14ac:dyDescent="0.35">
      <c r="A5" s="3" t="s">
        <v>14</v>
      </c>
      <c r="B5" s="3" t="s">
        <v>15</v>
      </c>
      <c r="C5" s="3" t="s">
        <v>8</v>
      </c>
      <c r="D5" s="8">
        <v>74689</v>
      </c>
      <c r="E5" s="15">
        <v>43834</v>
      </c>
      <c r="F5" s="5" t="str">
        <f t="shared" si="0"/>
        <v>Grade3</v>
      </c>
      <c r="G5" s="5"/>
      <c r="H5" s="5">
        <v>45000</v>
      </c>
      <c r="I5" s="5" t="s">
        <v>59</v>
      </c>
    </row>
    <row r="6" spans="1:9" ht="21" x14ac:dyDescent="0.35">
      <c r="A6" s="3" t="s">
        <v>16</v>
      </c>
      <c r="B6" s="3" t="s">
        <v>17</v>
      </c>
      <c r="C6" s="3" t="s">
        <v>11</v>
      </c>
      <c r="D6" s="8">
        <v>90652</v>
      </c>
      <c r="E6" s="15">
        <v>43835</v>
      </c>
      <c r="F6" s="5" t="str">
        <f t="shared" si="0"/>
        <v>Grade1</v>
      </c>
      <c r="G6" s="5"/>
      <c r="H6" s="5">
        <v>60000</v>
      </c>
      <c r="I6" s="5" t="s">
        <v>62</v>
      </c>
    </row>
    <row r="7" spans="1:9" ht="21" x14ac:dyDescent="0.35">
      <c r="A7" s="3" t="s">
        <v>18</v>
      </c>
      <c r="B7" s="3" t="s">
        <v>13</v>
      </c>
      <c r="C7" s="3" t="s">
        <v>11</v>
      </c>
      <c r="D7" s="8">
        <v>74820</v>
      </c>
      <c r="E7" s="15">
        <v>43836</v>
      </c>
      <c r="F7" s="5" t="str">
        <f t="shared" si="0"/>
        <v>Grade3</v>
      </c>
      <c r="G7" s="5"/>
      <c r="H7" s="5">
        <v>75000</v>
      </c>
      <c r="I7" s="5" t="s">
        <v>63</v>
      </c>
    </row>
    <row r="8" spans="1:9" ht="21" x14ac:dyDescent="0.35">
      <c r="A8" s="3" t="s">
        <v>19</v>
      </c>
      <c r="B8" s="3" t="s">
        <v>20</v>
      </c>
      <c r="C8" s="3" t="s">
        <v>3</v>
      </c>
      <c r="D8" s="8">
        <v>85206</v>
      </c>
      <c r="E8" s="15">
        <v>43837</v>
      </c>
      <c r="F8" s="5" t="str">
        <f t="shared" si="0"/>
        <v>Grade2</v>
      </c>
      <c r="G8" s="5"/>
      <c r="H8" s="5">
        <v>90000</v>
      </c>
      <c r="I8" s="5" t="s">
        <v>61</v>
      </c>
    </row>
    <row r="9" spans="1:9" ht="21" x14ac:dyDescent="0.35">
      <c r="A9" s="3" t="s">
        <v>21</v>
      </c>
      <c r="B9" s="3" t="s">
        <v>22</v>
      </c>
      <c r="C9" s="3" t="s">
        <v>8</v>
      </c>
      <c r="D9" s="8">
        <v>30924</v>
      </c>
      <c r="E9" s="15">
        <v>43838</v>
      </c>
      <c r="F9" s="5" t="str">
        <f t="shared" si="0"/>
        <v>Grade5</v>
      </c>
      <c r="G9" s="5"/>
      <c r="H9" s="5"/>
      <c r="I9" s="5"/>
    </row>
    <row r="10" spans="1:9" ht="21" x14ac:dyDescent="0.35">
      <c r="A10" s="3" t="s">
        <v>23</v>
      </c>
      <c r="B10" s="3" t="s">
        <v>24</v>
      </c>
      <c r="C10" s="3" t="s">
        <v>11</v>
      </c>
      <c r="D10" s="8">
        <v>57737</v>
      </c>
      <c r="E10" s="15">
        <v>43839</v>
      </c>
      <c r="F10" s="5" t="str">
        <f t="shared" si="0"/>
        <v>Grade4</v>
      </c>
      <c r="G10" s="5"/>
      <c r="H10" s="5"/>
      <c r="I10" s="5"/>
    </row>
    <row r="11" spans="1:9" ht="21" x14ac:dyDescent="0.35">
      <c r="A11" s="3" t="s">
        <v>25</v>
      </c>
      <c r="B11" s="3" t="s">
        <v>26</v>
      </c>
      <c r="C11" s="3" t="s">
        <v>3</v>
      </c>
      <c r="D11" s="8">
        <v>36000</v>
      </c>
      <c r="E11" s="15">
        <v>43840</v>
      </c>
      <c r="F11" s="5" t="str">
        <f t="shared" si="0"/>
        <v>Grade5</v>
      </c>
      <c r="G11" s="5"/>
      <c r="H11" s="5"/>
      <c r="I11" s="5"/>
    </row>
    <row r="12" spans="1:9" ht="21" x14ac:dyDescent="0.35">
      <c r="A12" s="3" t="s">
        <v>27</v>
      </c>
      <c r="B12" s="3" t="s">
        <v>28</v>
      </c>
      <c r="C12" s="3" t="s">
        <v>3</v>
      </c>
      <c r="D12" s="8">
        <v>96371</v>
      </c>
      <c r="E12" s="15">
        <v>43841</v>
      </c>
      <c r="F12" s="5" t="str">
        <f t="shared" si="0"/>
        <v>Grade1</v>
      </c>
      <c r="G12" s="5"/>
      <c r="H12" s="5"/>
      <c r="I12" s="5"/>
    </row>
    <row r="13" spans="1:9" ht="21" x14ac:dyDescent="0.35">
      <c r="A13" s="3" t="s">
        <v>29</v>
      </c>
      <c r="B13" s="3" t="s">
        <v>30</v>
      </c>
      <c r="C13" s="3" t="s">
        <v>11</v>
      </c>
      <c r="D13" s="8">
        <v>85028</v>
      </c>
      <c r="E13" s="15">
        <v>43842</v>
      </c>
      <c r="F13" s="5" t="str">
        <f t="shared" si="0"/>
        <v>Grade2</v>
      </c>
      <c r="G13" s="5"/>
      <c r="H13" s="5"/>
      <c r="I13" s="5"/>
    </row>
  </sheetData>
  <sortState ref="H3:I8">
    <sortCondition ref="H3:H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F0DB-C9BE-4B33-9819-949EE1CDA04D}">
  <dimension ref="A1:H13"/>
  <sheetViews>
    <sheetView workbookViewId="0">
      <selection activeCell="H7" sqref="H7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16.42578125" bestFit="1" customWidth="1"/>
    <col min="4" max="4" width="17.7109375" bestFit="1" customWidth="1"/>
    <col min="5" max="5" width="16.5703125" bestFit="1" customWidth="1"/>
    <col min="7" max="7" width="18" bestFit="1" customWidth="1"/>
    <col min="8" max="8" width="16.42578125" bestFit="1" customWidth="1"/>
  </cols>
  <sheetData>
    <row r="1" spans="1:8" ht="21" x14ac:dyDescent="0.35">
      <c r="A1" s="1" t="s">
        <v>53</v>
      </c>
      <c r="B1" s="1" t="s">
        <v>42</v>
      </c>
      <c r="C1" s="1" t="s">
        <v>2</v>
      </c>
      <c r="D1" s="7" t="s">
        <v>44</v>
      </c>
      <c r="E1" s="14" t="s">
        <v>54</v>
      </c>
      <c r="F1" s="5"/>
      <c r="G1" s="5"/>
      <c r="H1" s="5"/>
    </row>
    <row r="2" spans="1:8" ht="21" x14ac:dyDescent="0.35">
      <c r="A2" s="3" t="s">
        <v>6</v>
      </c>
      <c r="B2" s="3" t="s">
        <v>7</v>
      </c>
      <c r="C2" s="3" t="s">
        <v>8</v>
      </c>
      <c r="D2" s="8">
        <v>41954</v>
      </c>
      <c r="E2" s="15">
        <v>43831</v>
      </c>
      <c r="F2" s="5"/>
      <c r="G2" s="5"/>
      <c r="H2" s="5"/>
    </row>
    <row r="3" spans="1:8" ht="21" x14ac:dyDescent="0.35">
      <c r="A3" s="3" t="s">
        <v>9</v>
      </c>
      <c r="B3" s="3" t="s">
        <v>10</v>
      </c>
      <c r="C3" s="3" t="s">
        <v>11</v>
      </c>
      <c r="D3" s="8">
        <v>49855</v>
      </c>
      <c r="E3" s="15">
        <v>43832</v>
      </c>
      <c r="F3" s="5"/>
      <c r="G3" s="1" t="s">
        <v>53</v>
      </c>
      <c r="H3" s="5" t="s">
        <v>27</v>
      </c>
    </row>
    <row r="4" spans="1:8" ht="21" x14ac:dyDescent="0.35">
      <c r="A4" s="3" t="s">
        <v>12</v>
      </c>
      <c r="B4" s="3" t="s">
        <v>13</v>
      </c>
      <c r="C4" s="3" t="s">
        <v>3</v>
      </c>
      <c r="D4" s="8">
        <v>94210</v>
      </c>
      <c r="E4" s="15">
        <v>43833</v>
      </c>
      <c r="F4" s="5"/>
      <c r="G4" s="1" t="s">
        <v>2</v>
      </c>
      <c r="H4" s="5" t="str">
        <f>VLOOKUP($H$3,$A$1:$E$13,MATCH($G$4,$A$1:$E$1,0),0)</f>
        <v>Sales</v>
      </c>
    </row>
    <row r="5" spans="1:8" ht="21" x14ac:dyDescent="0.35">
      <c r="A5" s="3" t="s">
        <v>14</v>
      </c>
      <c r="B5" s="3" t="s">
        <v>15</v>
      </c>
      <c r="C5" s="3" t="s">
        <v>8</v>
      </c>
      <c r="D5" s="8">
        <v>74689</v>
      </c>
      <c r="E5" s="15">
        <v>43834</v>
      </c>
      <c r="F5" s="5"/>
      <c r="G5" s="7" t="s">
        <v>44</v>
      </c>
      <c r="H5" s="5">
        <f>VLOOKUP($H$3,$A$1:$E$13,MATCH($G$5,$A$1:$E$1,0),0)</f>
        <v>96371</v>
      </c>
    </row>
    <row r="6" spans="1:8" ht="21" x14ac:dyDescent="0.35">
      <c r="A6" s="3" t="s">
        <v>16</v>
      </c>
      <c r="B6" s="3" t="s">
        <v>17</v>
      </c>
      <c r="C6" s="3" t="s">
        <v>11</v>
      </c>
      <c r="D6" s="8">
        <v>90652</v>
      </c>
      <c r="E6" s="15">
        <v>43835</v>
      </c>
      <c r="F6" s="5"/>
      <c r="G6" s="5"/>
      <c r="H6" s="5"/>
    </row>
    <row r="7" spans="1:8" ht="21" x14ac:dyDescent="0.35">
      <c r="A7" s="3" t="s">
        <v>18</v>
      </c>
      <c r="B7" s="3" t="s">
        <v>13</v>
      </c>
      <c r="C7" s="3" t="s">
        <v>11</v>
      </c>
      <c r="D7" s="8">
        <v>74820</v>
      </c>
      <c r="E7" s="15">
        <v>43836</v>
      </c>
      <c r="F7" s="5"/>
      <c r="G7" s="5"/>
      <c r="H7" s="5">
        <f>MATCH(G4,A1:E1,0)</f>
        <v>3</v>
      </c>
    </row>
    <row r="8" spans="1:8" ht="21" x14ac:dyDescent="0.35">
      <c r="A8" s="3" t="s">
        <v>19</v>
      </c>
      <c r="B8" s="3" t="s">
        <v>20</v>
      </c>
      <c r="C8" s="3" t="s">
        <v>3</v>
      </c>
      <c r="D8" s="8">
        <v>85206</v>
      </c>
      <c r="E8" s="15">
        <v>43837</v>
      </c>
      <c r="F8" s="5"/>
      <c r="G8" s="5"/>
      <c r="H8" s="5"/>
    </row>
    <row r="9" spans="1:8" ht="21" x14ac:dyDescent="0.35">
      <c r="A9" s="3" t="s">
        <v>21</v>
      </c>
      <c r="B9" s="3" t="s">
        <v>22</v>
      </c>
      <c r="C9" s="3" t="s">
        <v>8</v>
      </c>
      <c r="D9" s="8">
        <v>30924</v>
      </c>
      <c r="E9" s="15">
        <v>43838</v>
      </c>
      <c r="F9" s="5"/>
      <c r="G9" s="5"/>
      <c r="H9" s="5"/>
    </row>
    <row r="10" spans="1:8" ht="21" x14ac:dyDescent="0.35">
      <c r="A10" s="3" t="s">
        <v>23</v>
      </c>
      <c r="B10" s="3" t="s">
        <v>24</v>
      </c>
      <c r="C10" s="3" t="s">
        <v>11</v>
      </c>
      <c r="D10" s="8">
        <v>57737</v>
      </c>
      <c r="E10" s="15">
        <v>43839</v>
      </c>
      <c r="F10" s="5"/>
      <c r="G10" s="5"/>
      <c r="H10" s="5"/>
    </row>
    <row r="11" spans="1:8" ht="21" x14ac:dyDescent="0.35">
      <c r="A11" s="3" t="s">
        <v>25</v>
      </c>
      <c r="B11" s="3" t="s">
        <v>26</v>
      </c>
      <c r="C11" s="3" t="s">
        <v>3</v>
      </c>
      <c r="D11" s="8">
        <v>36000</v>
      </c>
      <c r="E11" s="15">
        <v>43840</v>
      </c>
      <c r="F11" s="5"/>
      <c r="G11" s="5"/>
      <c r="H11" s="5"/>
    </row>
    <row r="12" spans="1:8" ht="21" x14ac:dyDescent="0.35">
      <c r="A12" s="3" t="s">
        <v>27</v>
      </c>
      <c r="B12" s="3" t="s">
        <v>28</v>
      </c>
      <c r="C12" s="3" t="s">
        <v>3</v>
      </c>
      <c r="D12" s="8">
        <v>96371</v>
      </c>
      <c r="E12" s="15">
        <v>43841</v>
      </c>
      <c r="F12" s="5"/>
      <c r="G12" s="5"/>
      <c r="H12" s="5"/>
    </row>
    <row r="13" spans="1:8" ht="21" x14ac:dyDescent="0.35">
      <c r="A13" s="3" t="s">
        <v>29</v>
      </c>
      <c r="B13" s="3" t="s">
        <v>30</v>
      </c>
      <c r="C13" s="3" t="s">
        <v>11</v>
      </c>
      <c r="D13" s="8">
        <v>85028</v>
      </c>
      <c r="E13" s="15">
        <v>43842</v>
      </c>
      <c r="F13" s="5"/>
      <c r="G13" s="5"/>
      <c r="H13" s="5"/>
    </row>
  </sheetData>
  <dataValidations count="2">
    <dataValidation type="list" allowBlank="1" showInputMessage="1" showErrorMessage="1" sqref="H3" xr:uid="{497D9C8E-7382-4C93-880C-9110CF935DE5}">
      <formula1>$A$1:$A$13</formula1>
    </dataValidation>
    <dataValidation type="list" allowBlank="1" showInputMessage="1" showErrorMessage="1" sqref="G4 G5" xr:uid="{CC5374C1-720A-42DE-9197-ED548152713E}">
      <formula1>$A$1:$E$1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E460-1CA0-4357-8A60-48F71E606152}">
  <dimension ref="A1:J15"/>
  <sheetViews>
    <sheetView workbookViewId="0"/>
  </sheetViews>
  <sheetFormatPr defaultRowHeight="21" x14ac:dyDescent="0.35"/>
  <cols>
    <col min="1" max="1" width="24.42578125" style="5" bestFit="1" customWidth="1"/>
    <col min="2" max="2" width="40.85546875" style="5" bestFit="1" customWidth="1"/>
    <col min="3" max="3" width="41.85546875" style="5" bestFit="1" customWidth="1"/>
    <col min="4" max="4" width="39.85546875" style="5" bestFit="1" customWidth="1"/>
    <col min="5" max="5" width="42.7109375" style="5" bestFit="1" customWidth="1"/>
    <col min="6" max="6" width="39" style="5" bestFit="1" customWidth="1"/>
    <col min="7" max="7" width="38.28515625" style="5" bestFit="1" customWidth="1"/>
    <col min="8" max="8" width="40.28515625" style="5" bestFit="1" customWidth="1"/>
    <col min="9" max="9" width="39.42578125" style="5" bestFit="1" customWidth="1"/>
    <col min="10" max="10" width="40.85546875" style="5" bestFit="1" customWidth="1"/>
    <col min="11" max="16384" width="9.140625" style="5"/>
  </cols>
  <sheetData>
    <row r="1" spans="1:10" x14ac:dyDescent="0.35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73</v>
      </c>
    </row>
    <row r="2" spans="1:10" x14ac:dyDescent="0.35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75</v>
      </c>
    </row>
    <row r="3" spans="1:10" x14ac:dyDescent="0.35">
      <c r="A3" s="5" t="s">
        <v>83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79</v>
      </c>
      <c r="G3" s="5" t="s">
        <v>88</v>
      </c>
      <c r="H3" s="5" t="s">
        <v>89</v>
      </c>
      <c r="I3" s="5" t="s">
        <v>90</v>
      </c>
      <c r="J3" s="5" t="s">
        <v>84</v>
      </c>
    </row>
    <row r="4" spans="1:10" x14ac:dyDescent="0.35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79</v>
      </c>
      <c r="G4" s="5" t="s">
        <v>96</v>
      </c>
      <c r="H4" s="5" t="s">
        <v>97</v>
      </c>
      <c r="I4" s="5" t="s">
        <v>98</v>
      </c>
      <c r="J4" s="5" t="s">
        <v>92</v>
      </c>
    </row>
    <row r="5" spans="1:10" x14ac:dyDescent="0.35">
      <c r="A5" s="5" t="s">
        <v>99</v>
      </c>
      <c r="B5" s="5" t="s">
        <v>100</v>
      </c>
      <c r="C5" s="5" t="s">
        <v>101</v>
      </c>
      <c r="D5" s="5" t="s">
        <v>102</v>
      </c>
      <c r="E5" s="5" t="s">
        <v>103</v>
      </c>
      <c r="F5" s="5" t="s">
        <v>79</v>
      </c>
      <c r="G5" s="5" t="s">
        <v>104</v>
      </c>
      <c r="H5" s="5" t="s">
        <v>105</v>
      </c>
      <c r="I5" s="5" t="s">
        <v>106</v>
      </c>
      <c r="J5" s="5" t="s">
        <v>100</v>
      </c>
    </row>
    <row r="6" spans="1:10" x14ac:dyDescent="0.35">
      <c r="A6" s="5" t="s">
        <v>107</v>
      </c>
      <c r="B6" s="5" t="s">
        <v>108</v>
      </c>
      <c r="C6" s="5" t="s">
        <v>109</v>
      </c>
      <c r="D6" s="5" t="s">
        <v>110</v>
      </c>
      <c r="E6" s="5" t="s">
        <v>111</v>
      </c>
      <c r="F6" s="5" t="s">
        <v>79</v>
      </c>
      <c r="G6" s="5" t="s">
        <v>112</v>
      </c>
      <c r="H6" s="5" t="s">
        <v>113</v>
      </c>
      <c r="I6" s="5" t="s">
        <v>114</v>
      </c>
      <c r="J6" s="5" t="s">
        <v>108</v>
      </c>
    </row>
    <row r="7" spans="1:10" x14ac:dyDescent="0.35">
      <c r="A7" s="5" t="s">
        <v>115</v>
      </c>
      <c r="B7" s="5" t="s">
        <v>116</v>
      </c>
      <c r="C7" s="5" t="s">
        <v>117</v>
      </c>
      <c r="D7" s="5" t="s">
        <v>118</v>
      </c>
      <c r="E7" s="5" t="s">
        <v>119</v>
      </c>
      <c r="F7" s="5" t="s">
        <v>79</v>
      </c>
      <c r="G7" s="5" t="s">
        <v>120</v>
      </c>
      <c r="H7" s="5" t="s">
        <v>121</v>
      </c>
      <c r="I7" s="5" t="s">
        <v>122</v>
      </c>
      <c r="J7" s="5" t="s">
        <v>116</v>
      </c>
    </row>
    <row r="8" spans="1:10" x14ac:dyDescent="0.35">
      <c r="A8" s="5" t="s">
        <v>123</v>
      </c>
      <c r="B8" s="5" t="s">
        <v>124</v>
      </c>
      <c r="C8" s="5" t="s">
        <v>125</v>
      </c>
      <c r="D8" s="5" t="s">
        <v>126</v>
      </c>
      <c r="E8" s="5" t="s">
        <v>127</v>
      </c>
      <c r="F8" s="5" t="s">
        <v>79</v>
      </c>
      <c r="G8" s="5" t="s">
        <v>128</v>
      </c>
      <c r="H8" s="5" t="s">
        <v>129</v>
      </c>
      <c r="I8" s="5" t="s">
        <v>130</v>
      </c>
      <c r="J8" s="5" t="s">
        <v>124</v>
      </c>
    </row>
    <row r="9" spans="1:10" x14ac:dyDescent="0.35">
      <c r="A9" s="5" t="s">
        <v>131</v>
      </c>
      <c r="B9" s="5" t="s">
        <v>132</v>
      </c>
      <c r="C9" s="5" t="s">
        <v>133</v>
      </c>
      <c r="D9" s="5" t="s">
        <v>134</v>
      </c>
      <c r="E9" s="5" t="s">
        <v>135</v>
      </c>
      <c r="F9" s="5" t="s">
        <v>79</v>
      </c>
      <c r="G9" s="5" t="s">
        <v>136</v>
      </c>
      <c r="H9" s="5" t="s">
        <v>137</v>
      </c>
      <c r="I9" s="5" t="s">
        <v>138</v>
      </c>
      <c r="J9" s="5" t="s">
        <v>132</v>
      </c>
    </row>
    <row r="11" spans="1:10" x14ac:dyDescent="0.35">
      <c r="B11" s="19" t="s">
        <v>64</v>
      </c>
      <c r="C11" s="20" t="s">
        <v>69</v>
      </c>
    </row>
    <row r="12" spans="1:10" x14ac:dyDescent="0.35">
      <c r="B12" s="20" t="s">
        <v>99</v>
      </c>
      <c r="C12" s="21" t="str">
        <f>INDEX(A1:J9,C14,C15)</f>
        <v>Break</v>
      </c>
    </row>
    <row r="14" spans="1:10" x14ac:dyDescent="0.35">
      <c r="B14" s="5" t="s">
        <v>139</v>
      </c>
      <c r="C14" s="5">
        <f>MATCH(B12,A1:A9,0)</f>
        <v>5</v>
      </c>
      <c r="D14" s="5" t="s">
        <v>141</v>
      </c>
      <c r="E14" s="5" t="s">
        <v>142</v>
      </c>
    </row>
    <row r="15" spans="1:10" x14ac:dyDescent="0.35">
      <c r="B15" s="5" t="s">
        <v>140</v>
      </c>
      <c r="C15" s="5">
        <f>MATCH(C11,A1:J1,0)</f>
        <v>6</v>
      </c>
      <c r="D15" s="5" t="s">
        <v>143</v>
      </c>
      <c r="E15" s="5" t="s">
        <v>144</v>
      </c>
    </row>
  </sheetData>
  <dataValidations count="2">
    <dataValidation type="list" allowBlank="1" showInputMessage="1" showErrorMessage="1" sqref="B12" xr:uid="{E49A8000-D53F-49F7-B1CE-C8A330D0B689}">
      <formula1>$A$1:$A$9</formula1>
    </dataValidation>
    <dataValidation type="list" allowBlank="1" showInputMessage="1" showErrorMessage="1" sqref="C11" xr:uid="{E817FD91-FB9E-4233-B4A4-C56501E48AC5}">
      <formula1>$A$1:$J$1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AEC6-6171-4BBB-8EB2-817C7EC8E162}">
  <dimension ref="A1:J13"/>
  <sheetViews>
    <sheetView workbookViewId="0">
      <selection activeCell="F18" sqref="F18"/>
    </sheetView>
  </sheetViews>
  <sheetFormatPr defaultRowHeight="15" x14ac:dyDescent="0.25"/>
  <cols>
    <col min="1" max="1" width="17.140625" style="13" bestFit="1" customWidth="1"/>
    <col min="2" max="2" width="18.140625" style="13" bestFit="1" customWidth="1"/>
    <col min="3" max="3" width="16.42578125" style="13" bestFit="1" customWidth="1"/>
    <col min="4" max="4" width="17.7109375" style="13" bestFit="1" customWidth="1"/>
    <col min="5" max="5" width="16.5703125" style="13" bestFit="1" customWidth="1"/>
    <col min="6" max="6" width="10.5703125" style="13" customWidth="1"/>
    <col min="7" max="7" width="17.140625" style="13" bestFit="1" customWidth="1"/>
    <col min="8" max="8" width="16.42578125" style="13" bestFit="1" customWidth="1"/>
    <col min="9" max="9" width="9.140625" style="13"/>
    <col min="10" max="10" width="2.85546875" style="13" bestFit="1" customWidth="1"/>
    <col min="11" max="16384" width="9.140625" style="13"/>
  </cols>
  <sheetData>
    <row r="1" spans="1:10" ht="21" x14ac:dyDescent="0.35">
      <c r="A1" s="1" t="s">
        <v>53</v>
      </c>
      <c r="B1" s="1" t="s">
        <v>42</v>
      </c>
      <c r="C1" s="1" t="s">
        <v>2</v>
      </c>
      <c r="D1" s="7" t="s">
        <v>44</v>
      </c>
      <c r="E1" s="14" t="s">
        <v>54</v>
      </c>
      <c r="F1" s="17"/>
      <c r="G1" s="5"/>
      <c r="H1" s="5"/>
      <c r="I1" s="5"/>
      <c r="J1" s="5"/>
    </row>
    <row r="2" spans="1:10" ht="21" x14ac:dyDescent="0.35">
      <c r="A2" s="3" t="s">
        <v>6</v>
      </c>
      <c r="B2" s="3" t="s">
        <v>7</v>
      </c>
      <c r="C2" s="3" t="s">
        <v>8</v>
      </c>
      <c r="D2" s="8">
        <v>41954</v>
      </c>
      <c r="E2" s="15">
        <v>43831</v>
      </c>
      <c r="F2" s="16"/>
      <c r="G2" s="1" t="s">
        <v>53</v>
      </c>
      <c r="H2" s="5" t="s">
        <v>16</v>
      </c>
      <c r="I2" s="5"/>
      <c r="J2" s="5"/>
    </row>
    <row r="3" spans="1:10" ht="21" x14ac:dyDescent="0.35">
      <c r="A3" s="3" t="s">
        <v>9</v>
      </c>
      <c r="B3" s="3" t="s">
        <v>10</v>
      </c>
      <c r="C3" s="3" t="s">
        <v>11</v>
      </c>
      <c r="D3" s="8">
        <v>49855</v>
      </c>
      <c r="E3" s="15">
        <v>43832</v>
      </c>
      <c r="F3" s="16"/>
      <c r="G3" s="1" t="s">
        <v>42</v>
      </c>
      <c r="H3" s="5" t="str">
        <f>VLOOKUP($H$2,$A$1:$E$13,ROW()-1,1)</f>
        <v>Employee_5</v>
      </c>
      <c r="I3" s="5"/>
      <c r="J3" s="5"/>
    </row>
    <row r="4" spans="1:10" ht="21" x14ac:dyDescent="0.35">
      <c r="A4" s="3" t="s">
        <v>12</v>
      </c>
      <c r="B4" s="3" t="s">
        <v>13</v>
      </c>
      <c r="C4" s="3" t="s">
        <v>3</v>
      </c>
      <c r="D4" s="8">
        <v>94210</v>
      </c>
      <c r="E4" s="15">
        <v>43833</v>
      </c>
      <c r="F4" s="16"/>
      <c r="G4" s="1" t="s">
        <v>2</v>
      </c>
      <c r="H4" s="5" t="str">
        <f>VLOOKUP($H$2,$A$1:$E$13,ROW()-1,1)</f>
        <v>Operations</v>
      </c>
      <c r="I4" s="5"/>
      <c r="J4" s="5"/>
    </row>
    <row r="5" spans="1:10" ht="21" x14ac:dyDescent="0.35">
      <c r="A5" s="3" t="s">
        <v>14</v>
      </c>
      <c r="B5" s="3" t="s">
        <v>15</v>
      </c>
      <c r="C5" s="3" t="s">
        <v>8</v>
      </c>
      <c r="D5" s="8">
        <v>74689</v>
      </c>
      <c r="E5" s="15">
        <v>43834</v>
      </c>
      <c r="F5" s="16"/>
      <c r="G5" s="7" t="s">
        <v>44</v>
      </c>
      <c r="H5" s="5">
        <f>VLOOKUP($H$2,$A$1:$E$13,ROW()-1,1)</f>
        <v>90652</v>
      </c>
      <c r="I5" s="5"/>
      <c r="J5" s="5"/>
    </row>
    <row r="6" spans="1:10" ht="21" x14ac:dyDescent="0.35">
      <c r="A6" s="3" t="s">
        <v>16</v>
      </c>
      <c r="B6" s="3" t="s">
        <v>17</v>
      </c>
      <c r="C6" s="3" t="s">
        <v>11</v>
      </c>
      <c r="D6" s="8">
        <v>90652</v>
      </c>
      <c r="E6" s="15">
        <v>43835</v>
      </c>
      <c r="F6" s="16"/>
      <c r="G6" s="14" t="s">
        <v>54</v>
      </c>
      <c r="H6" s="5">
        <f>VLOOKUP($H$2,$A$1:$E$13,ROW()-1,1)</f>
        <v>43835</v>
      </c>
      <c r="I6" s="5"/>
      <c r="J6" s="5"/>
    </row>
    <row r="7" spans="1:10" ht="21" x14ac:dyDescent="0.35">
      <c r="A7" s="3" t="s">
        <v>18</v>
      </c>
      <c r="B7" s="3" t="s">
        <v>13</v>
      </c>
      <c r="C7" s="3" t="s">
        <v>11</v>
      </c>
      <c r="D7" s="8">
        <v>74820</v>
      </c>
      <c r="E7" s="15">
        <v>43836</v>
      </c>
      <c r="F7" s="16"/>
      <c r="G7" s="5"/>
      <c r="H7" s="5"/>
      <c r="I7" s="5"/>
      <c r="J7" s="5"/>
    </row>
    <row r="8" spans="1:10" ht="21" x14ac:dyDescent="0.35">
      <c r="A8" s="3" t="s">
        <v>19</v>
      </c>
      <c r="B8" s="3" t="s">
        <v>20</v>
      </c>
      <c r="C8" s="3" t="s">
        <v>3</v>
      </c>
      <c r="D8" s="8">
        <v>85206</v>
      </c>
      <c r="E8" s="15">
        <v>43837</v>
      </c>
      <c r="F8" s="16"/>
      <c r="G8" s="5"/>
      <c r="H8" s="5"/>
      <c r="I8" s="5"/>
      <c r="J8" s="5"/>
    </row>
    <row r="9" spans="1:10" ht="21" x14ac:dyDescent="0.35">
      <c r="A9" s="3" t="s">
        <v>21</v>
      </c>
      <c r="B9" s="3" t="s">
        <v>22</v>
      </c>
      <c r="C9" s="3" t="s">
        <v>8</v>
      </c>
      <c r="D9" s="8">
        <v>30924</v>
      </c>
      <c r="E9" s="15">
        <v>43838</v>
      </c>
      <c r="F9" s="16"/>
      <c r="G9" s="5"/>
      <c r="H9" s="5"/>
      <c r="I9" s="5"/>
      <c r="J9" s="5"/>
    </row>
    <row r="10" spans="1:10" ht="21" x14ac:dyDescent="0.35">
      <c r="A10" s="3" t="s">
        <v>23</v>
      </c>
      <c r="B10" s="3" t="s">
        <v>24</v>
      </c>
      <c r="C10" s="3" t="s">
        <v>11</v>
      </c>
      <c r="D10" s="8">
        <v>57737</v>
      </c>
      <c r="E10" s="15">
        <v>43839</v>
      </c>
      <c r="F10" s="16"/>
      <c r="G10" s="5"/>
      <c r="H10" s="5"/>
      <c r="I10" s="5"/>
      <c r="J10" s="5"/>
    </row>
    <row r="11" spans="1:10" ht="21" x14ac:dyDescent="0.35">
      <c r="A11" s="3" t="s">
        <v>25</v>
      </c>
      <c r="B11" s="3" t="s">
        <v>26</v>
      </c>
      <c r="C11" s="3" t="s">
        <v>3</v>
      </c>
      <c r="D11" s="8">
        <v>36000</v>
      </c>
      <c r="E11" s="15">
        <v>43840</v>
      </c>
      <c r="F11" s="16"/>
      <c r="G11" s="5"/>
      <c r="H11" s="5"/>
      <c r="I11" s="5"/>
      <c r="J11" s="5"/>
    </row>
    <row r="12" spans="1:10" ht="21" x14ac:dyDescent="0.35">
      <c r="A12" s="3" t="s">
        <v>27</v>
      </c>
      <c r="B12" s="3" t="s">
        <v>28</v>
      </c>
      <c r="C12" s="3" t="s">
        <v>3</v>
      </c>
      <c r="D12" s="8">
        <v>96371</v>
      </c>
      <c r="E12" s="15">
        <v>43841</v>
      </c>
      <c r="F12" s="16"/>
      <c r="G12" s="5"/>
      <c r="H12" s="5"/>
      <c r="I12" s="5"/>
      <c r="J12" s="5"/>
    </row>
    <row r="13" spans="1:10" ht="21" x14ac:dyDescent="0.35">
      <c r="A13" s="3" t="s">
        <v>29</v>
      </c>
      <c r="B13" s="3" t="s">
        <v>30</v>
      </c>
      <c r="C13" s="3" t="s">
        <v>11</v>
      </c>
      <c r="D13" s="8">
        <v>85028</v>
      </c>
      <c r="E13" s="15">
        <v>43842</v>
      </c>
      <c r="F13" s="16"/>
      <c r="G13" s="5"/>
      <c r="H13" s="5"/>
      <c r="I13" s="5"/>
      <c r="J1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1F9A-27D5-4E43-83DA-E3BE039F2EB6}">
  <dimension ref="A1:J13"/>
  <sheetViews>
    <sheetView workbookViewId="0">
      <selection activeCell="D15" sqref="D15"/>
    </sheetView>
  </sheetViews>
  <sheetFormatPr defaultRowHeight="15" x14ac:dyDescent="0.25"/>
  <cols>
    <col min="1" max="1" width="17.140625" bestFit="1" customWidth="1"/>
    <col min="2" max="2" width="18.140625" bestFit="1" customWidth="1"/>
    <col min="3" max="3" width="16.42578125" bestFit="1" customWidth="1"/>
    <col min="4" max="4" width="17.7109375" bestFit="1" customWidth="1"/>
    <col min="5" max="5" width="16.5703125" bestFit="1" customWidth="1"/>
    <col min="7" max="7" width="17.140625" bestFit="1" customWidth="1"/>
    <col min="8" max="8" width="16.42578125" bestFit="1" customWidth="1"/>
    <col min="10" max="10" width="2.85546875" bestFit="1" customWidth="1"/>
  </cols>
  <sheetData>
    <row r="1" spans="1:10" ht="21" x14ac:dyDescent="0.35">
      <c r="A1" s="1" t="s">
        <v>53</v>
      </c>
      <c r="B1" s="1" t="s">
        <v>42</v>
      </c>
      <c r="C1" s="1" t="s">
        <v>2</v>
      </c>
      <c r="D1" s="7" t="s">
        <v>44</v>
      </c>
      <c r="E1" s="14" t="s">
        <v>54</v>
      </c>
      <c r="F1" s="5"/>
      <c r="G1" s="5"/>
      <c r="H1" s="5"/>
      <c r="I1" s="5"/>
      <c r="J1" s="5"/>
    </row>
    <row r="2" spans="1:10" ht="21" x14ac:dyDescent="0.35">
      <c r="A2" s="3" t="s">
        <v>6</v>
      </c>
      <c r="B2" s="3" t="s">
        <v>7</v>
      </c>
      <c r="C2" s="3" t="s">
        <v>8</v>
      </c>
      <c r="D2" s="8">
        <v>41954</v>
      </c>
      <c r="E2" s="15">
        <v>43831</v>
      </c>
      <c r="F2" s="5"/>
      <c r="G2" s="1" t="s">
        <v>53</v>
      </c>
      <c r="H2" s="5" t="s">
        <v>16</v>
      </c>
      <c r="I2" s="5"/>
      <c r="J2" s="5"/>
    </row>
    <row r="3" spans="1:10" ht="21" x14ac:dyDescent="0.35">
      <c r="A3" s="3" t="s">
        <v>9</v>
      </c>
      <c r="B3" s="3" t="s">
        <v>10</v>
      </c>
      <c r="C3" s="3" t="s">
        <v>11</v>
      </c>
      <c r="D3" s="8">
        <v>49855</v>
      </c>
      <c r="E3" s="15">
        <v>43832</v>
      </c>
      <c r="F3" s="5"/>
      <c r="G3" s="1" t="s">
        <v>42</v>
      </c>
      <c r="H3" s="5" t="str">
        <f>VLOOKUP($H$2,$A$1:$E$13,2,1)</f>
        <v>Employee_5</v>
      </c>
      <c r="I3" s="5"/>
      <c r="J3" s="5"/>
    </row>
    <row r="4" spans="1:10" ht="21" x14ac:dyDescent="0.35">
      <c r="A4" s="3" t="s">
        <v>12</v>
      </c>
      <c r="B4" s="3" t="s">
        <v>13</v>
      </c>
      <c r="C4" s="3" t="s">
        <v>3</v>
      </c>
      <c r="D4" s="8">
        <v>94210</v>
      </c>
      <c r="E4" s="15">
        <v>43833</v>
      </c>
      <c r="F4" s="5"/>
      <c r="G4" s="1" t="s">
        <v>2</v>
      </c>
      <c r="H4" s="5" t="str">
        <f>VLOOKUP($H$2,$A$1:$E$13,3,1)</f>
        <v>Operations</v>
      </c>
      <c r="I4" s="5"/>
      <c r="J4" s="5"/>
    </row>
    <row r="5" spans="1:10" ht="21" x14ac:dyDescent="0.35">
      <c r="A5" s="3" t="s">
        <v>14</v>
      </c>
      <c r="B5" s="3" t="s">
        <v>15</v>
      </c>
      <c r="C5" s="3" t="s">
        <v>8</v>
      </c>
      <c r="D5" s="8">
        <v>74689</v>
      </c>
      <c r="E5" s="15">
        <v>43834</v>
      </c>
      <c r="F5" s="5"/>
      <c r="G5" s="7" t="s">
        <v>44</v>
      </c>
      <c r="H5" s="5">
        <f>VLOOKUP($H$2,$A$1:$E$13,4,1)</f>
        <v>90652</v>
      </c>
      <c r="I5" s="5"/>
      <c r="J5" s="5"/>
    </row>
    <row r="6" spans="1:10" ht="21" x14ac:dyDescent="0.35">
      <c r="A6" s="3" t="s">
        <v>16</v>
      </c>
      <c r="B6" s="3" t="s">
        <v>17</v>
      </c>
      <c r="C6" s="3" t="s">
        <v>11</v>
      </c>
      <c r="D6" s="8">
        <v>90652</v>
      </c>
      <c r="E6" s="15">
        <v>43835</v>
      </c>
      <c r="F6" s="5"/>
      <c r="G6" s="14" t="s">
        <v>54</v>
      </c>
      <c r="H6" s="5">
        <f>VLOOKUP($H$2,$A$1:$E$13,5,1)</f>
        <v>43835</v>
      </c>
      <c r="I6" s="5"/>
      <c r="J6" s="5"/>
    </row>
    <row r="7" spans="1:10" ht="21" x14ac:dyDescent="0.35">
      <c r="A7" s="3" t="s">
        <v>18</v>
      </c>
      <c r="B7" s="3" t="s">
        <v>13</v>
      </c>
      <c r="C7" s="3" t="s">
        <v>11</v>
      </c>
      <c r="D7" s="8">
        <v>74820</v>
      </c>
      <c r="E7" s="15">
        <v>43836</v>
      </c>
      <c r="F7" s="5"/>
      <c r="G7" s="5"/>
      <c r="H7" s="5"/>
      <c r="I7" s="5"/>
      <c r="J7" s="5"/>
    </row>
    <row r="8" spans="1:10" ht="21" x14ac:dyDescent="0.35">
      <c r="A8" s="3" t="s">
        <v>19</v>
      </c>
      <c r="B8" s="3" t="s">
        <v>20</v>
      </c>
      <c r="C8" s="3" t="s">
        <v>3</v>
      </c>
      <c r="D8" s="8">
        <v>85206</v>
      </c>
      <c r="E8" s="15">
        <v>43837</v>
      </c>
      <c r="F8" s="5"/>
      <c r="G8" s="5"/>
      <c r="H8" s="5"/>
      <c r="I8" s="5"/>
      <c r="J8" s="5"/>
    </row>
    <row r="9" spans="1:10" ht="21" x14ac:dyDescent="0.35">
      <c r="A9" s="3" t="s">
        <v>21</v>
      </c>
      <c r="B9" s="3" t="s">
        <v>22</v>
      </c>
      <c r="C9" s="3" t="s">
        <v>8</v>
      </c>
      <c r="D9" s="8">
        <v>30924</v>
      </c>
      <c r="E9" s="15">
        <v>43838</v>
      </c>
      <c r="F9" s="5"/>
      <c r="G9" s="5"/>
      <c r="H9" s="5"/>
      <c r="I9" s="5"/>
      <c r="J9" s="5"/>
    </row>
    <row r="10" spans="1:10" ht="21" x14ac:dyDescent="0.35">
      <c r="A10" s="3" t="s">
        <v>23</v>
      </c>
      <c r="B10" s="3" t="s">
        <v>24</v>
      </c>
      <c r="C10" s="3" t="s">
        <v>11</v>
      </c>
      <c r="D10" s="8">
        <v>57737</v>
      </c>
      <c r="E10" s="15">
        <v>43839</v>
      </c>
      <c r="F10" s="5"/>
      <c r="G10" s="5"/>
      <c r="H10" s="5"/>
      <c r="I10" s="5"/>
      <c r="J10" s="5"/>
    </row>
    <row r="11" spans="1:10" ht="21" x14ac:dyDescent="0.35">
      <c r="A11" s="3" t="s">
        <v>25</v>
      </c>
      <c r="B11" s="3" t="s">
        <v>26</v>
      </c>
      <c r="C11" s="3" t="s">
        <v>3</v>
      </c>
      <c r="D11" s="8">
        <v>36000</v>
      </c>
      <c r="E11" s="15">
        <v>43840</v>
      </c>
      <c r="F11" s="5"/>
      <c r="G11" s="5"/>
      <c r="H11" s="5"/>
      <c r="I11" s="5"/>
      <c r="J11" s="5"/>
    </row>
    <row r="12" spans="1:10" ht="21" x14ac:dyDescent="0.35">
      <c r="A12" s="3" t="s">
        <v>27</v>
      </c>
      <c r="B12" s="3" t="s">
        <v>28</v>
      </c>
      <c r="C12" s="3" t="s">
        <v>3</v>
      </c>
      <c r="D12" s="8">
        <v>96371</v>
      </c>
      <c r="E12" s="15">
        <v>43841</v>
      </c>
      <c r="F12" s="5"/>
      <c r="G12" s="5"/>
      <c r="H12" s="5"/>
      <c r="I12" s="5"/>
      <c r="J12" s="5"/>
    </row>
    <row r="13" spans="1:10" ht="21" x14ac:dyDescent="0.35">
      <c r="A13" s="3" t="s">
        <v>29</v>
      </c>
      <c r="B13" s="3" t="s">
        <v>30</v>
      </c>
      <c r="C13" s="3" t="s">
        <v>11</v>
      </c>
      <c r="D13" s="8">
        <v>85028</v>
      </c>
      <c r="E13" s="15">
        <v>43842</v>
      </c>
      <c r="F13" s="5"/>
      <c r="G13" s="5"/>
      <c r="H13" s="5"/>
      <c r="I13" s="5"/>
      <c r="J1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EFA3-46A6-48C5-861D-ABE93A678CD7}">
  <dimension ref="A1:XFD13"/>
  <sheetViews>
    <sheetView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16.42578125" bestFit="1" customWidth="1"/>
    <col min="3" max="3" width="21.28515625" bestFit="1" customWidth="1"/>
    <col min="4" max="4" width="17.7109375" bestFit="1" customWidth="1"/>
    <col min="5" max="6" width="17.7109375" style="10" customWidth="1"/>
    <col min="11" max="11" width="10.7109375" bestFit="1" customWidth="1"/>
    <col min="12" max="12" width="4.28515625" bestFit="1" customWidth="1"/>
    <col min="13" max="13" width="14.42578125" bestFit="1" customWidth="1"/>
  </cols>
  <sheetData>
    <row r="1" spans="1:16384" ht="21" x14ac:dyDescent="0.35">
      <c r="A1" s="1" t="s">
        <v>42</v>
      </c>
      <c r="B1" s="1" t="s">
        <v>2</v>
      </c>
      <c r="C1" s="1" t="s">
        <v>43</v>
      </c>
      <c r="D1" s="7" t="s">
        <v>44</v>
      </c>
      <c r="E1" s="11" t="s">
        <v>51</v>
      </c>
      <c r="F1" s="11" t="s">
        <v>52</v>
      </c>
      <c r="I1" s="10"/>
      <c r="J1" s="10"/>
      <c r="K1" s="24" t="s">
        <v>50</v>
      </c>
      <c r="L1" s="24"/>
      <c r="M1" s="24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10"/>
    </row>
    <row r="2" spans="1:16384" ht="21" x14ac:dyDescent="0.35">
      <c r="A2" s="3" t="s">
        <v>7</v>
      </c>
      <c r="B2" s="3" t="s">
        <v>8</v>
      </c>
      <c r="C2" s="3">
        <v>5</v>
      </c>
      <c r="D2" s="8">
        <v>41954</v>
      </c>
      <c r="E2" s="12" t="str">
        <f>IF(AND(B2="Finance",C2&gt;=5),"Yes","No")</f>
        <v>Yes</v>
      </c>
      <c r="F2" s="12" t="str">
        <f>IF(OR(B2="Finance",C2&gt;=5),"Yes","No")</f>
        <v>Yes</v>
      </c>
      <c r="K2" s="23" t="s">
        <v>45</v>
      </c>
      <c r="L2" s="23"/>
      <c r="M2" s="9" t="s">
        <v>46</v>
      </c>
    </row>
    <row r="3" spans="1:16384" ht="21" x14ac:dyDescent="0.35">
      <c r="A3" s="3" t="s">
        <v>10</v>
      </c>
      <c r="B3" s="3" t="s">
        <v>11</v>
      </c>
      <c r="C3" s="3">
        <v>4</v>
      </c>
      <c r="D3" s="8">
        <v>49855</v>
      </c>
      <c r="E3" s="12" t="str">
        <f t="shared" ref="E3:E13" si="0">IF(AND(B3="Finance",C3&gt;=5),"Yes","No")</f>
        <v>No</v>
      </c>
      <c r="F3" s="12" t="str">
        <f t="shared" ref="F3:F13" si="1">IF(OR(B3="Finance",C3&gt;=5),"Yes","No")</f>
        <v>No</v>
      </c>
      <c r="K3" s="3" t="s">
        <v>8</v>
      </c>
      <c r="L3" s="3" t="s">
        <v>47</v>
      </c>
      <c r="M3" s="9" t="s">
        <v>48</v>
      </c>
    </row>
    <row r="4" spans="1:16384" ht="21" x14ac:dyDescent="0.35">
      <c r="A4" s="3" t="s">
        <v>13</v>
      </c>
      <c r="B4" s="3" t="s">
        <v>3</v>
      </c>
      <c r="C4" s="3">
        <v>3</v>
      </c>
      <c r="D4" s="8">
        <v>94210</v>
      </c>
      <c r="E4" s="12" t="str">
        <f t="shared" si="0"/>
        <v>No</v>
      </c>
      <c r="F4" s="12" t="str">
        <f t="shared" si="1"/>
        <v>No</v>
      </c>
    </row>
    <row r="5" spans="1:16384" ht="21" x14ac:dyDescent="0.35">
      <c r="A5" s="3" t="s">
        <v>15</v>
      </c>
      <c r="B5" s="3" t="s">
        <v>8</v>
      </c>
      <c r="C5" s="3">
        <v>5</v>
      </c>
      <c r="D5" s="8">
        <v>74689</v>
      </c>
      <c r="E5" s="12" t="str">
        <f t="shared" si="0"/>
        <v>Yes</v>
      </c>
      <c r="F5" s="12" t="str">
        <f t="shared" si="1"/>
        <v>Yes</v>
      </c>
    </row>
    <row r="6" spans="1:16384" ht="21" x14ac:dyDescent="0.35">
      <c r="A6" s="3" t="s">
        <v>17</v>
      </c>
      <c r="B6" s="3" t="s">
        <v>11</v>
      </c>
      <c r="C6" s="3">
        <v>6</v>
      </c>
      <c r="D6" s="8">
        <v>90652</v>
      </c>
      <c r="E6" s="12" t="str">
        <f t="shared" si="0"/>
        <v>No</v>
      </c>
      <c r="F6" s="12" t="str">
        <f t="shared" si="1"/>
        <v>Yes</v>
      </c>
    </row>
    <row r="7" spans="1:16384" ht="21" x14ac:dyDescent="0.35">
      <c r="A7" s="3" t="s">
        <v>13</v>
      </c>
      <c r="B7" s="3" t="s">
        <v>11</v>
      </c>
      <c r="C7" s="3">
        <v>2</v>
      </c>
      <c r="D7" s="8">
        <v>74820</v>
      </c>
      <c r="E7" s="12" t="str">
        <f t="shared" si="0"/>
        <v>No</v>
      </c>
      <c r="F7" s="12" t="str">
        <f t="shared" si="1"/>
        <v>No</v>
      </c>
      <c r="K7" s="24" t="s">
        <v>49</v>
      </c>
      <c r="L7" s="25"/>
      <c r="M7" s="25"/>
    </row>
    <row r="8" spans="1:16384" ht="21" x14ac:dyDescent="0.35">
      <c r="A8" s="3" t="s">
        <v>20</v>
      </c>
      <c r="B8" s="3" t="s">
        <v>3</v>
      </c>
      <c r="C8" s="3">
        <v>3</v>
      </c>
      <c r="D8" s="8">
        <v>85206</v>
      </c>
      <c r="E8" s="12" t="str">
        <f t="shared" si="0"/>
        <v>No</v>
      </c>
      <c r="F8" s="12" t="str">
        <f t="shared" si="1"/>
        <v>No</v>
      </c>
      <c r="K8" s="23" t="s">
        <v>45</v>
      </c>
      <c r="L8" s="23"/>
      <c r="M8" s="9" t="s">
        <v>46</v>
      </c>
    </row>
    <row r="9" spans="1:16384" ht="21" x14ac:dyDescent="0.35">
      <c r="A9" s="3" t="s">
        <v>22</v>
      </c>
      <c r="B9" s="3" t="s">
        <v>8</v>
      </c>
      <c r="C9" s="3">
        <v>5</v>
      </c>
      <c r="D9" s="8">
        <v>30924</v>
      </c>
      <c r="E9" s="12" t="str">
        <f t="shared" si="0"/>
        <v>Yes</v>
      </c>
      <c r="F9" s="12" t="str">
        <f t="shared" si="1"/>
        <v>Yes</v>
      </c>
      <c r="K9" s="3" t="s">
        <v>8</v>
      </c>
      <c r="L9" s="3" t="s">
        <v>47</v>
      </c>
      <c r="M9" s="9" t="s">
        <v>48</v>
      </c>
    </row>
    <row r="10" spans="1:16384" ht="21" x14ac:dyDescent="0.35">
      <c r="A10" s="3" t="s">
        <v>24</v>
      </c>
      <c r="B10" s="3" t="s">
        <v>11</v>
      </c>
      <c r="C10" s="3">
        <v>6</v>
      </c>
      <c r="D10" s="8">
        <v>57737</v>
      </c>
      <c r="E10" s="12" t="str">
        <f t="shared" si="0"/>
        <v>No</v>
      </c>
      <c r="F10" s="12" t="str">
        <f t="shared" si="1"/>
        <v>Yes</v>
      </c>
    </row>
    <row r="11" spans="1:16384" ht="21" x14ac:dyDescent="0.35">
      <c r="A11" s="3" t="s">
        <v>26</v>
      </c>
      <c r="B11" s="3" t="s">
        <v>3</v>
      </c>
      <c r="C11" s="3">
        <v>2</v>
      </c>
      <c r="D11" s="8">
        <v>36000</v>
      </c>
      <c r="E11" s="12" t="str">
        <f t="shared" si="0"/>
        <v>No</v>
      </c>
      <c r="F11" s="12" t="str">
        <f t="shared" si="1"/>
        <v>No</v>
      </c>
    </row>
    <row r="12" spans="1:16384" ht="21" x14ac:dyDescent="0.35">
      <c r="A12" s="3" t="s">
        <v>28</v>
      </c>
      <c r="B12" s="3" t="s">
        <v>3</v>
      </c>
      <c r="C12" s="3">
        <v>3</v>
      </c>
      <c r="D12" s="8">
        <v>96371</v>
      </c>
      <c r="E12" s="12" t="str">
        <f t="shared" si="0"/>
        <v>No</v>
      </c>
      <c r="F12" s="12" t="str">
        <f t="shared" si="1"/>
        <v>No</v>
      </c>
    </row>
    <row r="13" spans="1:16384" ht="21" x14ac:dyDescent="0.35">
      <c r="A13" s="3" t="s">
        <v>30</v>
      </c>
      <c r="B13" s="3" t="s">
        <v>11</v>
      </c>
      <c r="C13" s="3">
        <v>7</v>
      </c>
      <c r="D13" s="8">
        <v>85028</v>
      </c>
      <c r="E13" s="12" t="str">
        <f t="shared" si="0"/>
        <v>No</v>
      </c>
      <c r="F13" s="12" t="str">
        <f t="shared" si="1"/>
        <v>Yes</v>
      </c>
    </row>
  </sheetData>
  <mergeCells count="4">
    <mergeCell ref="K2:L2"/>
    <mergeCell ref="K8:L8"/>
    <mergeCell ref="K1:M1"/>
    <mergeCell ref="K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IF_IFS</vt:lpstr>
      <vt:lpstr>Vlookup_hide row</vt:lpstr>
      <vt:lpstr>Vlookup(Sort)</vt:lpstr>
      <vt:lpstr>DropDown_Vlookup</vt:lpstr>
      <vt:lpstr>Match_Index</vt:lpstr>
      <vt:lpstr>Vlookup_Dunamic</vt:lpstr>
      <vt:lpstr>Vlookup</vt:lpstr>
      <vt:lpstr>AND_OR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2026-04-26T08:47:37Z</dcterms:created>
  <dcterms:modified xsi:type="dcterms:W3CDTF">2026-04-26T11:36:11Z</dcterms:modified>
</cp:coreProperties>
</file>