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9A60076F-7CCA-48AE-8154-19557849726D}" xr6:coauthVersionLast="36" xr6:coauthVersionMax="36" xr10:uidLastSave="{00000000-0000-0000-0000-000000000000}"/>
  <bookViews>
    <workbookView xWindow="0" yWindow="0" windowWidth="20490" windowHeight="7545" activeTab="3" xr2:uid="{D2C2901F-7A6B-4C39-8941-21C3AFB11A7F}"/>
  </bookViews>
  <sheets>
    <sheet name="AverageIF Function" sheetId="1" r:id="rId1"/>
    <sheet name="AverageIf based on another cell" sheetId="2" r:id="rId2"/>
    <sheet name="Sheet1" sheetId="3" r:id="rId3"/>
    <sheet name="Averageif Exclude Function" sheetId="6" r:id="rId4"/>
    <sheet name="AverageIF Text criteria" sheetId="4" r:id="rId5"/>
    <sheet name="Sheet3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6" l="1"/>
  <c r="I5" i="6"/>
  <c r="H5" i="4"/>
  <c r="I11" i="2"/>
  <c r="I6" i="2" l="1"/>
  <c r="F7" i="1"/>
  <c r="F6" i="1"/>
  <c r="F5" i="1"/>
</calcChain>
</file>

<file path=xl/sharedStrings.xml><?xml version="1.0" encoding="utf-8"?>
<sst xmlns="http://schemas.openxmlformats.org/spreadsheetml/2006/main" count="180" uniqueCount="38">
  <si>
    <r>
      <rPr>
        <b/>
        <sz val="17.5"/>
        <rFont val="Calibri"/>
        <family val="1"/>
      </rPr>
      <t>Item</t>
    </r>
  </si>
  <si>
    <r>
      <rPr>
        <b/>
        <sz val="17.5"/>
        <rFont val="Calibri"/>
        <family val="1"/>
      </rPr>
      <t>Sales</t>
    </r>
  </si>
  <si>
    <r>
      <rPr>
        <b/>
        <sz val="17.5"/>
        <rFont val="Calibri"/>
        <family val="1"/>
      </rPr>
      <t>Delivery</t>
    </r>
  </si>
  <si>
    <r>
      <rPr>
        <sz val="17.5"/>
        <rFont val="Verdana"/>
        <family val="2"/>
      </rPr>
      <t>Apple</t>
    </r>
  </si>
  <si>
    <r>
      <rPr>
        <sz val="17.5"/>
        <rFont val="Verdana"/>
        <family val="2"/>
      </rPr>
      <t>Banana</t>
    </r>
  </si>
  <si>
    <r>
      <rPr>
        <sz val="17.5"/>
        <rFont val="Verdana"/>
        <family val="2"/>
      </rPr>
      <t>Orange</t>
    </r>
  </si>
  <si>
    <r>
      <rPr>
        <b/>
        <sz val="16"/>
        <rFont val="Calibri"/>
        <family val="1"/>
      </rPr>
      <t xml:space="preserve">Excel AVERAGEIF function
</t>
    </r>
    <r>
      <rPr>
        <sz val="16"/>
        <rFont val="Calibri"/>
        <family val="1"/>
      </rPr>
      <t>AVERAGEIF(range, criteria, [average_r</t>
    </r>
  </si>
  <si>
    <r>
      <rPr>
        <b/>
        <sz val="19.5"/>
        <rFont val="Calibri"/>
        <family val="1"/>
      </rPr>
      <t>Average</t>
    </r>
  </si>
  <si>
    <r>
      <rPr>
        <sz val="19.5"/>
        <rFont val="Calibri"/>
        <family val="1"/>
      </rPr>
      <t>Item: Apple</t>
    </r>
  </si>
  <si>
    <r>
      <rPr>
        <sz val="19.5"/>
        <rFont val="Calibri"/>
        <family val="1"/>
      </rPr>
      <t>Sales: &gt;0</t>
    </r>
  </si>
  <si>
    <r>
      <rPr>
        <sz val="19.5"/>
        <rFont val="Calibri"/>
        <family val="1"/>
      </rPr>
      <t>Delivered: by Oct-15</t>
    </r>
  </si>
  <si>
    <t>Averageif(range, criteria, [average_range])</t>
  </si>
  <si>
    <t>Criteria</t>
  </si>
  <si>
    <r>
      <rPr>
        <sz val="19.5"/>
        <rFont val="Calibri"/>
        <family val="1"/>
      </rPr>
      <t>20-Sep</t>
    </r>
  </si>
  <si>
    <r>
      <rPr>
        <sz val="19.5"/>
        <rFont val="Calibri"/>
        <family val="1"/>
      </rPr>
      <t>30-Nov</t>
    </r>
  </si>
  <si>
    <r>
      <rPr>
        <sz val="19.5"/>
        <rFont val="Calibri"/>
        <family val="1"/>
      </rPr>
      <t>9-Sep</t>
    </r>
  </si>
  <si>
    <r>
      <rPr>
        <sz val="19.5"/>
        <rFont val="Calibri"/>
        <family val="1"/>
      </rPr>
      <t>30-Oct</t>
    </r>
  </si>
  <si>
    <r>
      <rPr>
        <sz val="19.5"/>
        <rFont val="Calibri"/>
        <family val="1"/>
      </rPr>
      <t>25-Nov</t>
    </r>
  </si>
  <si>
    <r>
      <rPr>
        <sz val="19.5"/>
        <rFont val="Calibri"/>
        <family val="1"/>
      </rPr>
      <t>31-Oct</t>
    </r>
  </si>
  <si>
    <r>
      <rPr>
        <sz val="19.5"/>
        <rFont val="Calibri"/>
        <family val="1"/>
      </rPr>
      <t>26-Nov</t>
    </r>
  </si>
  <si>
    <r>
      <rPr>
        <sz val="19.5"/>
        <rFont val="Calibri"/>
        <family val="1"/>
      </rPr>
      <t>28-Sep</t>
    </r>
  </si>
  <si>
    <r>
      <rPr>
        <sz val="19.5"/>
        <rFont val="Calibri"/>
        <family val="1"/>
      </rPr>
      <t>6-Sep</t>
    </r>
  </si>
  <si>
    <r>
      <rPr>
        <sz val="19.5"/>
        <rFont val="Calibri"/>
        <family val="1"/>
      </rPr>
      <t>16-Sep</t>
    </r>
  </si>
  <si>
    <r>
      <rPr>
        <sz val="19.5"/>
        <rFont val="Calibri"/>
        <family val="1"/>
      </rPr>
      <t>10-Oct</t>
    </r>
  </si>
  <si>
    <t>Based on same cell</t>
  </si>
  <si>
    <t>Sales greater than</t>
  </si>
  <si>
    <t>Based on another cell</t>
  </si>
  <si>
    <t xml:space="preserve">Delivery after </t>
  </si>
  <si>
    <t>Average</t>
  </si>
  <si>
    <r>
      <rPr>
        <sz val="19.5"/>
        <rFont val="Calibri"/>
        <family val="1"/>
      </rPr>
      <t>1-Oct</t>
    </r>
  </si>
  <si>
    <r>
      <rPr>
        <b/>
        <sz val="19.5"/>
        <rFont val="Calibri"/>
        <family val="1"/>
      </rPr>
      <t>Average before 1-Nov</t>
    </r>
  </si>
  <si>
    <r>
      <rPr>
        <sz val="19.5"/>
        <rFont val="Calibri"/>
        <family val="1"/>
      </rPr>
      <t>=AVERAGEIF(C3:C15, "&lt;1/11/2024", B3:B15)</t>
    </r>
  </si>
  <si>
    <t>Banana</t>
  </si>
  <si>
    <t>Exclude</t>
  </si>
  <si>
    <t>Apple</t>
  </si>
  <si>
    <t>Averge</t>
  </si>
  <si>
    <t>Exclude( Banana, Green Banana, Goldfish Banana)</t>
  </si>
  <si>
    <t>Green 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</si>
</sst>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0"/>
    <numFmt numFmtId="165" formatCode="\$0.00"/>
    <numFmt numFmtId="166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7.5"/>
      <name val="Calibri"/>
    </font>
    <font>
      <sz val="17.5"/>
      <name val="Verdana"/>
    </font>
    <font>
      <sz val="17.5"/>
      <color rgb="FF000000"/>
      <name val="Calibri"/>
      <family val="2"/>
    </font>
    <font>
      <b/>
      <sz val="17.5"/>
      <name val="Calibri"/>
      <family val="1"/>
    </font>
    <font>
      <sz val="17.5"/>
      <name val="Verdana"/>
      <family val="2"/>
    </font>
    <font>
      <b/>
      <sz val="19.5"/>
      <name val="Calibri"/>
      <family val="1"/>
    </font>
    <font>
      <sz val="19.5"/>
      <name val="Calibri"/>
      <family val="1"/>
    </font>
    <font>
      <sz val="12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name val="Calibri"/>
      <family val="1"/>
    </font>
    <font>
      <sz val="16"/>
      <name val="Calibri"/>
      <family val="1"/>
    </font>
    <font>
      <sz val="10"/>
      <color rgb="FF000000"/>
      <name val="Times New Roman"/>
      <family val="1"/>
    </font>
    <font>
      <sz val="13.5"/>
      <name val="Calibri"/>
      <family val="2"/>
    </font>
    <font>
      <b/>
      <sz val="19.5"/>
      <name val="Calibri"/>
      <family val="2"/>
    </font>
    <font>
      <sz val="19.5"/>
      <name val="Calibri"/>
      <family val="2"/>
    </font>
    <font>
      <b/>
      <sz val="19.5"/>
      <name val="Calibri"/>
    </font>
    <font>
      <sz val="19.5"/>
      <name val="Calibri"/>
    </font>
    <font>
      <b/>
      <sz val="17.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1EED9"/>
      </patternFill>
    </fill>
    <fill>
      <patternFill patternType="solid">
        <fgColor rgb="FFFAE4D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14" fillId="0" borderId="0"/>
  </cellStyleXfs>
  <cellXfs count="40">
    <xf numFmtId="0" fontId="0" fillId="0" borderId="0" xfId="0"/>
    <xf numFmtId="0" fontId="2" fillId="0" borderId="0" xfId="2" applyFill="1" applyBorder="1" applyAlignment="1">
      <alignment horizontal="left" vertical="top"/>
    </xf>
    <xf numFmtId="0" fontId="3" fillId="2" borderId="1" xfId="2" applyFont="1" applyFill="1" applyBorder="1" applyAlignment="1">
      <alignment horizontal="left" vertical="top" wrapText="1"/>
    </xf>
    <xf numFmtId="0" fontId="3" fillId="2" borderId="1" xfId="2" applyFont="1" applyFill="1" applyBorder="1" applyAlignment="1">
      <alignment horizontal="center" vertical="top" wrapText="1"/>
    </xf>
    <xf numFmtId="0" fontId="4" fillId="0" borderId="1" xfId="2" applyFont="1" applyFill="1" applyBorder="1" applyAlignment="1">
      <alignment horizontal="left" vertical="top" wrapText="1"/>
    </xf>
    <xf numFmtId="164" fontId="5" fillId="0" borderId="1" xfId="2" applyNumberFormat="1" applyFont="1" applyFill="1" applyBorder="1" applyAlignment="1">
      <alignment horizontal="center" vertical="top" shrinkToFit="1"/>
    </xf>
    <xf numFmtId="0" fontId="11" fillId="0" borderId="0" xfId="2" applyFont="1" applyFill="1" applyBorder="1" applyAlignment="1">
      <alignment horizontal="center" vertical="top" wrapText="1"/>
    </xf>
    <xf numFmtId="0" fontId="14" fillId="0" borderId="0" xfId="3" applyFill="1" applyBorder="1" applyAlignment="1">
      <alignment horizontal="left" vertical="top"/>
    </xf>
    <xf numFmtId="0" fontId="16" fillId="3" borderId="1" xfId="3" applyFont="1" applyFill="1" applyBorder="1" applyAlignment="1">
      <alignment horizontal="left" vertical="top" wrapText="1"/>
    </xf>
    <xf numFmtId="0" fontId="17" fillId="0" borderId="1" xfId="3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vertical="top" wrapText="1"/>
    </xf>
    <xf numFmtId="0" fontId="8" fillId="3" borderId="1" xfId="3" applyFont="1" applyFill="1" applyBorder="1" applyAlignment="1">
      <alignment horizontal="left" vertical="top" wrapText="1"/>
    </xf>
    <xf numFmtId="0" fontId="10" fillId="0" borderId="1" xfId="3" applyFont="1" applyFill="1" applyBorder="1" applyAlignment="1">
      <alignment horizontal="left" wrapText="1"/>
    </xf>
    <xf numFmtId="165" fontId="10" fillId="0" borderId="1" xfId="3" applyNumberFormat="1" applyFont="1" applyFill="1" applyBorder="1" applyAlignment="1">
      <alignment horizontal="left" wrapText="1"/>
    </xf>
    <xf numFmtId="0" fontId="16" fillId="3" borderId="1" xfId="3" applyFont="1" applyFill="1" applyBorder="1" applyAlignment="1">
      <alignment horizontal="left" vertical="top" wrapText="1"/>
    </xf>
    <xf numFmtId="0" fontId="17" fillId="0" borderId="1" xfId="3" applyFont="1" applyFill="1" applyBorder="1" applyAlignment="1">
      <alignment horizontal="left" vertical="top" wrapText="1"/>
    </xf>
    <xf numFmtId="0" fontId="17" fillId="0" borderId="1" xfId="3" applyFont="1" applyFill="1" applyBorder="1" applyAlignment="1">
      <alignment horizontal="center" vertical="top" wrapText="1"/>
    </xf>
    <xf numFmtId="44" fontId="17" fillId="0" borderId="1" xfId="1" applyFont="1" applyFill="1" applyBorder="1" applyAlignment="1">
      <alignment horizontal="left" vertical="top" wrapText="1"/>
    </xf>
    <xf numFmtId="166" fontId="10" fillId="0" borderId="1" xfId="3" applyNumberFormat="1" applyFont="1" applyFill="1" applyBorder="1" applyAlignment="1">
      <alignment horizontal="left" wrapText="1"/>
    </xf>
    <xf numFmtId="0" fontId="11" fillId="0" borderId="0" xfId="2" applyFont="1" applyFill="1" applyBorder="1" applyAlignment="1">
      <alignment horizontal="center" vertical="top" wrapText="1"/>
    </xf>
    <xf numFmtId="0" fontId="11" fillId="0" borderId="0" xfId="2" applyFont="1" applyFill="1" applyBorder="1" applyAlignment="1">
      <alignment vertical="top" wrapText="1"/>
    </xf>
    <xf numFmtId="0" fontId="19" fillId="0" borderId="1" xfId="2" applyFont="1" applyFill="1" applyBorder="1" applyAlignment="1">
      <alignment horizontal="right" vertical="top" wrapText="1" indent="3"/>
    </xf>
    <xf numFmtId="0" fontId="3" fillId="2" borderId="1" xfId="2" applyFont="1" applyFill="1" applyBorder="1" applyAlignment="1">
      <alignment horizontal="left" vertical="top" wrapText="1"/>
    </xf>
    <xf numFmtId="0" fontId="3" fillId="2" borderId="1" xfId="2" applyFont="1" applyFill="1" applyBorder="1" applyAlignment="1">
      <alignment horizontal="center" vertical="top" wrapText="1"/>
    </xf>
    <xf numFmtId="0" fontId="4" fillId="0" borderId="1" xfId="2" applyFont="1" applyFill="1" applyBorder="1" applyAlignment="1">
      <alignment horizontal="left" vertical="top" wrapText="1"/>
    </xf>
    <xf numFmtId="164" fontId="5" fillId="0" borderId="1" xfId="2" applyNumberFormat="1" applyFont="1" applyFill="1" applyBorder="1" applyAlignment="1">
      <alignment horizontal="center" vertical="top" shrinkToFit="1"/>
    </xf>
    <xf numFmtId="0" fontId="11" fillId="0" borderId="5" xfId="2" applyFont="1" applyFill="1" applyBorder="1" applyAlignment="1">
      <alignment horizontal="center" vertical="top" wrapText="1"/>
    </xf>
    <xf numFmtId="0" fontId="17" fillId="0" borderId="0" xfId="3" applyFont="1" applyFill="1" applyBorder="1" applyAlignment="1">
      <alignment horizontal="center" vertical="top" wrapText="1"/>
    </xf>
    <xf numFmtId="0" fontId="3" fillId="0" borderId="0" xfId="2" applyFont="1" applyFill="1" applyBorder="1" applyAlignment="1">
      <alignment horizontal="center" vertical="top" wrapText="1"/>
    </xf>
    <xf numFmtId="0" fontId="18" fillId="0" borderId="0" xfId="2" applyFont="1" applyFill="1" applyBorder="1" applyAlignment="1">
      <alignment horizontal="left" vertical="top" wrapText="1"/>
    </xf>
    <xf numFmtId="0" fontId="18" fillId="3" borderId="6" xfId="2" applyFont="1" applyFill="1" applyBorder="1" applyAlignment="1">
      <alignment horizontal="left" vertical="top" wrapText="1" indent="8"/>
    </xf>
    <xf numFmtId="0" fontId="19" fillId="0" borderId="6" xfId="2" applyFont="1" applyFill="1" applyBorder="1" applyAlignment="1">
      <alignment horizontal="left" vertical="top" wrapText="1" indent="1"/>
    </xf>
    <xf numFmtId="0" fontId="20" fillId="2" borderId="1" xfId="2" applyFont="1" applyFill="1" applyBorder="1" applyAlignment="1">
      <alignment horizontal="center" vertical="top" wrapText="1"/>
    </xf>
    <xf numFmtId="0" fontId="20" fillId="2" borderId="2" xfId="2" applyFont="1" applyFill="1" applyBorder="1" applyAlignment="1">
      <alignment horizontal="center" vertical="top" wrapText="1"/>
    </xf>
    <xf numFmtId="0" fontId="20" fillId="2" borderId="3" xfId="2" applyFont="1" applyFill="1" applyBorder="1" applyAlignment="1">
      <alignment horizontal="center" vertical="top" wrapText="1"/>
    </xf>
    <xf numFmtId="0" fontId="0" fillId="0" borderId="0" xfId="0" applyBorder="1"/>
    <xf numFmtId="0" fontId="20" fillId="0" borderId="0" xfId="2" applyFont="1" applyFill="1" applyBorder="1" applyAlignment="1">
      <alignment horizontal="center" vertical="top" wrapText="1"/>
    </xf>
    <xf numFmtId="0" fontId="20" fillId="2" borderId="4" xfId="2" applyFont="1" applyFill="1" applyBorder="1" applyAlignment="1">
      <alignment horizontal="center" vertical="top" wrapText="1"/>
    </xf>
    <xf numFmtId="0" fontId="20" fillId="2" borderId="6" xfId="2" applyFont="1" applyFill="1" applyBorder="1" applyAlignment="1">
      <alignment horizontal="center" vertical="top" wrapText="1"/>
    </xf>
    <xf numFmtId="0" fontId="7" fillId="0" borderId="1" xfId="2" applyFont="1" applyFill="1" applyBorder="1" applyAlignment="1">
      <alignment horizontal="left" vertical="top" wrapText="1"/>
    </xf>
  </cellXfs>
  <cellStyles count="4">
    <cellStyle name="Currency" xfId="1" builtinId="4"/>
    <cellStyle name="Normal" xfId="0" builtinId="0"/>
    <cellStyle name="Normal 2" xfId="2" xr:uid="{00000000-0005-0000-0000-00002F000000}"/>
    <cellStyle name="Normal 3" xfId="3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0DC9-1775-41DE-8BC3-1E6320D0E967}">
  <dimension ref="A1:G16"/>
  <sheetViews>
    <sheetView workbookViewId="0">
      <selection activeCell="C10" sqref="C10"/>
    </sheetView>
  </sheetViews>
  <sheetFormatPr defaultRowHeight="15" x14ac:dyDescent="0.25"/>
  <cols>
    <col min="1" max="1" width="15.5703125" customWidth="1"/>
    <col min="2" max="2" width="16.42578125" customWidth="1"/>
    <col min="3" max="3" width="20.5703125" customWidth="1"/>
    <col min="5" max="5" width="35.85546875" customWidth="1"/>
    <col min="6" max="6" width="22.140625" customWidth="1"/>
  </cols>
  <sheetData>
    <row r="1" spans="1:7" ht="20.25" x14ac:dyDescent="0.25">
      <c r="A1" s="19" t="s">
        <v>6</v>
      </c>
      <c r="B1" s="19"/>
      <c r="C1" s="19"/>
      <c r="D1" s="19"/>
    </row>
    <row r="2" spans="1:7" ht="20.25" x14ac:dyDescent="0.25">
      <c r="A2" s="19" t="s">
        <v>11</v>
      </c>
      <c r="B2" s="19"/>
      <c r="C2" s="19"/>
      <c r="D2" s="19"/>
      <c r="E2" s="19"/>
      <c r="F2" s="19"/>
    </row>
    <row r="3" spans="1:7" ht="22.5" x14ac:dyDescent="0.25">
      <c r="A3" s="2" t="s">
        <v>0</v>
      </c>
      <c r="B3" s="3" t="s">
        <v>1</v>
      </c>
      <c r="C3" s="3" t="s">
        <v>2</v>
      </c>
      <c r="D3" s="1"/>
      <c r="E3" s="10"/>
      <c r="F3" s="10"/>
      <c r="G3" s="10"/>
    </row>
    <row r="4" spans="1:7" ht="25.5" x14ac:dyDescent="0.25">
      <c r="A4" s="4" t="s">
        <v>3</v>
      </c>
      <c r="B4" s="5">
        <v>106</v>
      </c>
      <c r="C4" s="16" t="s">
        <v>13</v>
      </c>
      <c r="D4" s="1"/>
      <c r="E4" s="11" t="s">
        <v>12</v>
      </c>
      <c r="F4" s="8" t="s">
        <v>7</v>
      </c>
      <c r="G4" s="7"/>
    </row>
    <row r="5" spans="1:7" ht="25.5" x14ac:dyDescent="0.25">
      <c r="A5" s="4" t="s">
        <v>4</v>
      </c>
      <c r="B5" s="5">
        <v>118</v>
      </c>
      <c r="C5" s="16" t="s">
        <v>14</v>
      </c>
      <c r="D5" s="1"/>
      <c r="E5" s="9" t="s">
        <v>8</v>
      </c>
      <c r="F5" s="13">
        <f>AVERAGEIF(A4:A16,"Apple",B4:B16)</f>
        <v>118.2</v>
      </c>
      <c r="G5" s="7"/>
    </row>
    <row r="6" spans="1:7" ht="25.5" x14ac:dyDescent="0.25">
      <c r="A6" s="4" t="s">
        <v>3</v>
      </c>
      <c r="B6" s="5">
        <v>0</v>
      </c>
      <c r="C6" s="16" t="s">
        <v>15</v>
      </c>
      <c r="D6" s="1"/>
      <c r="E6" s="9" t="s">
        <v>9</v>
      </c>
      <c r="F6" s="12">
        <f>AVERAGEIF(B4:B16,"&gt;0")</f>
        <v>140.4</v>
      </c>
      <c r="G6" s="7"/>
    </row>
    <row r="7" spans="1:7" ht="25.5" x14ac:dyDescent="0.25">
      <c r="A7" s="4" t="s">
        <v>4</v>
      </c>
      <c r="B7" s="5">
        <v>142</v>
      </c>
      <c r="C7" s="16" t="s">
        <v>15</v>
      </c>
      <c r="D7" s="1"/>
      <c r="E7" s="9" t="s">
        <v>10</v>
      </c>
      <c r="F7" s="12">
        <f>AVERAGEIF(C4:C16,"&lt;=15/10/2026",B4:B16)</f>
        <v>194</v>
      </c>
      <c r="G7" s="7"/>
    </row>
    <row r="8" spans="1:7" ht="25.5" x14ac:dyDescent="0.25">
      <c r="A8" s="4" t="s">
        <v>3</v>
      </c>
      <c r="B8" s="5">
        <v>139</v>
      </c>
      <c r="C8" s="16" t="s">
        <v>16</v>
      </c>
      <c r="D8" s="1"/>
    </row>
    <row r="9" spans="1:7" ht="25.5" x14ac:dyDescent="0.25">
      <c r="A9" s="4" t="s">
        <v>5</v>
      </c>
      <c r="B9" s="5">
        <v>0</v>
      </c>
      <c r="C9" s="16" t="s">
        <v>17</v>
      </c>
      <c r="D9" s="1"/>
    </row>
    <row r="10" spans="1:7" ht="25.5" x14ac:dyDescent="0.25">
      <c r="A10" s="4" t="s">
        <v>3</v>
      </c>
      <c r="B10" s="5">
        <v>152</v>
      </c>
      <c r="C10" s="16" t="s">
        <v>18</v>
      </c>
      <c r="D10" s="1"/>
    </row>
    <row r="11" spans="1:7" ht="25.5" x14ac:dyDescent="0.25">
      <c r="A11" s="4" t="s">
        <v>5</v>
      </c>
      <c r="B11" s="5">
        <v>126</v>
      </c>
      <c r="C11" s="16" t="s">
        <v>19</v>
      </c>
      <c r="D11" s="1"/>
    </row>
    <row r="12" spans="1:7" ht="25.5" x14ac:dyDescent="0.25">
      <c r="A12" s="4" t="s">
        <v>4</v>
      </c>
      <c r="B12" s="5">
        <v>0</v>
      </c>
      <c r="C12" s="16" t="s">
        <v>20</v>
      </c>
      <c r="D12" s="1"/>
    </row>
    <row r="13" spans="1:7" ht="25.5" x14ac:dyDescent="0.25">
      <c r="A13" s="4" t="s">
        <v>5</v>
      </c>
      <c r="B13" s="5">
        <v>156</v>
      </c>
      <c r="C13" s="16" t="s">
        <v>21</v>
      </c>
      <c r="D13" s="1"/>
    </row>
    <row r="14" spans="1:7" ht="25.5" x14ac:dyDescent="0.25">
      <c r="A14" s="4" t="s">
        <v>4</v>
      </c>
      <c r="B14" s="5">
        <v>147</v>
      </c>
      <c r="C14" s="16" t="s">
        <v>15</v>
      </c>
      <c r="D14" s="1"/>
    </row>
    <row r="15" spans="1:7" ht="25.5" x14ac:dyDescent="0.25">
      <c r="A15" s="4" t="s">
        <v>5</v>
      </c>
      <c r="B15" s="5">
        <v>124</v>
      </c>
      <c r="C15" s="16" t="s">
        <v>22</v>
      </c>
      <c r="D15" s="1"/>
    </row>
    <row r="16" spans="1:7" ht="25.5" x14ac:dyDescent="0.25">
      <c r="A16" s="4" t="s">
        <v>3</v>
      </c>
      <c r="B16" s="5">
        <v>194</v>
      </c>
      <c r="C16" s="16" t="s">
        <v>23</v>
      </c>
      <c r="D16" s="1"/>
    </row>
  </sheetData>
  <mergeCells count="2">
    <mergeCell ref="A1:D1"/>
    <mergeCell ref="A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EAE7-D941-4FE6-BBB6-103E4CB5DE10}">
  <dimension ref="A1:I16"/>
  <sheetViews>
    <sheetView workbookViewId="0">
      <selection activeCell="A5" sqref="A1:C16"/>
    </sheetView>
  </sheetViews>
  <sheetFormatPr defaultRowHeight="15" x14ac:dyDescent="0.25"/>
  <cols>
    <col min="1" max="1" width="15.5703125" customWidth="1"/>
    <col min="2" max="2" width="14" customWidth="1"/>
    <col min="3" max="6" width="17.140625" customWidth="1"/>
    <col min="8" max="8" width="34.7109375" customWidth="1"/>
    <col min="9" max="9" width="17.42578125" customWidth="1"/>
  </cols>
  <sheetData>
    <row r="1" spans="1:9" ht="20.25" customHeight="1" x14ac:dyDescent="0.25">
      <c r="A1" s="19" t="s">
        <v>6</v>
      </c>
      <c r="B1" s="19"/>
      <c r="C1" s="19"/>
      <c r="D1" s="20"/>
      <c r="E1" s="20"/>
      <c r="F1" s="20"/>
      <c r="G1" s="20"/>
    </row>
    <row r="2" spans="1:9" ht="20.25" customHeight="1" x14ac:dyDescent="0.25">
      <c r="A2" s="26" t="s">
        <v>11</v>
      </c>
      <c r="B2" s="26"/>
      <c r="C2" s="26"/>
      <c r="D2" s="6"/>
      <c r="E2" s="6"/>
      <c r="F2" s="6"/>
      <c r="G2" s="20"/>
      <c r="H2" s="20"/>
      <c r="I2" s="20"/>
    </row>
    <row r="3" spans="1:9" ht="22.5" x14ac:dyDescent="0.25">
      <c r="A3" s="2" t="s">
        <v>0</v>
      </c>
      <c r="B3" s="3" t="s">
        <v>1</v>
      </c>
      <c r="C3" s="3" t="s">
        <v>2</v>
      </c>
      <c r="D3" s="28"/>
      <c r="E3" s="28"/>
      <c r="F3" s="28"/>
      <c r="G3" s="1"/>
      <c r="H3" s="10"/>
      <c r="I3" s="10"/>
    </row>
    <row r="4" spans="1:9" ht="25.5" x14ac:dyDescent="0.25">
      <c r="A4" s="4" t="s">
        <v>3</v>
      </c>
      <c r="B4" s="5">
        <v>106</v>
      </c>
      <c r="C4" s="16" t="s">
        <v>13</v>
      </c>
      <c r="D4" s="27"/>
      <c r="E4" s="27"/>
      <c r="F4" s="27"/>
      <c r="G4" s="1"/>
      <c r="H4" s="11" t="s">
        <v>24</v>
      </c>
      <c r="I4" s="14" t="s">
        <v>7</v>
      </c>
    </row>
    <row r="5" spans="1:9" ht="25.5" x14ac:dyDescent="0.25">
      <c r="A5" s="4" t="s">
        <v>4</v>
      </c>
      <c r="B5" s="5">
        <v>118</v>
      </c>
      <c r="C5" s="16" t="s">
        <v>14</v>
      </c>
      <c r="D5" s="27"/>
      <c r="E5" s="27"/>
      <c r="F5" s="27"/>
      <c r="G5" s="1"/>
      <c r="H5" s="15" t="s">
        <v>25</v>
      </c>
      <c r="I5" s="13">
        <v>120</v>
      </c>
    </row>
    <row r="6" spans="1:9" ht="25.5" x14ac:dyDescent="0.25">
      <c r="A6" s="4" t="s">
        <v>3</v>
      </c>
      <c r="B6" s="5">
        <v>0</v>
      </c>
      <c r="C6" s="16" t="s">
        <v>15</v>
      </c>
      <c r="D6" s="27"/>
      <c r="E6" s="27"/>
      <c r="F6" s="27"/>
      <c r="G6" s="1"/>
      <c r="H6" s="15" t="s">
        <v>28</v>
      </c>
      <c r="I6" s="18">
        <f>AVERAGEIF(B4:B16,"&gt;"&amp;I5)</f>
        <v>147.5</v>
      </c>
    </row>
    <row r="7" spans="1:9" ht="25.5" x14ac:dyDescent="0.25">
      <c r="A7" s="4" t="s">
        <v>4</v>
      </c>
      <c r="B7" s="5">
        <v>142</v>
      </c>
      <c r="C7" s="16" t="s">
        <v>15</v>
      </c>
      <c r="D7" s="27"/>
      <c r="E7" s="27"/>
      <c r="F7" s="27"/>
      <c r="G7" s="1"/>
      <c r="H7" s="17"/>
      <c r="I7" s="12"/>
    </row>
    <row r="8" spans="1:9" ht="25.5" x14ac:dyDescent="0.25">
      <c r="A8" s="4" t="s">
        <v>3</v>
      </c>
      <c r="B8" s="5">
        <v>139</v>
      </c>
      <c r="C8" s="16" t="s">
        <v>16</v>
      </c>
      <c r="D8" s="27"/>
      <c r="E8" s="27"/>
      <c r="F8" s="27"/>
      <c r="G8" s="1"/>
    </row>
    <row r="9" spans="1:9" ht="30" customHeight="1" x14ac:dyDescent="0.25">
      <c r="A9" s="4" t="s">
        <v>5</v>
      </c>
      <c r="B9" s="5">
        <v>0</v>
      </c>
      <c r="C9" s="16" t="s">
        <v>17</v>
      </c>
      <c r="D9" s="27"/>
      <c r="E9" s="27"/>
      <c r="F9" s="27"/>
      <c r="G9" s="1"/>
      <c r="H9" s="11" t="s">
        <v>26</v>
      </c>
      <c r="I9" s="14" t="s">
        <v>7</v>
      </c>
    </row>
    <row r="10" spans="1:9" ht="25.5" x14ac:dyDescent="0.25">
      <c r="A10" s="4" t="s">
        <v>3</v>
      </c>
      <c r="B10" s="5">
        <v>152</v>
      </c>
      <c r="C10" s="16" t="s">
        <v>18</v>
      </c>
      <c r="D10" s="27"/>
      <c r="E10" s="27"/>
      <c r="F10" s="27"/>
      <c r="G10" s="1"/>
      <c r="H10" s="15" t="s">
        <v>27</v>
      </c>
      <c r="I10" s="21" t="s">
        <v>29</v>
      </c>
    </row>
    <row r="11" spans="1:9" ht="25.5" x14ac:dyDescent="0.25">
      <c r="A11" s="4" t="s">
        <v>5</v>
      </c>
      <c r="B11" s="5">
        <v>126</v>
      </c>
      <c r="C11" s="16" t="s">
        <v>19</v>
      </c>
      <c r="D11" s="27"/>
      <c r="E11" s="27"/>
      <c r="F11" s="27"/>
      <c r="G11" s="1"/>
      <c r="H11" s="15" t="s">
        <v>28</v>
      </c>
      <c r="I11" s="12" t="e">
        <f>AVERAGEIF(C4:C16,"&gt;"&amp;I10,B4:B16)</f>
        <v>#DIV/0!</v>
      </c>
    </row>
    <row r="12" spans="1:9" ht="25.5" x14ac:dyDescent="0.25">
      <c r="A12" s="4" t="s">
        <v>4</v>
      </c>
      <c r="B12" s="5">
        <v>0</v>
      </c>
      <c r="C12" s="16" t="s">
        <v>20</v>
      </c>
      <c r="D12" s="27"/>
      <c r="E12" s="27"/>
      <c r="F12" s="27"/>
      <c r="G12" s="1"/>
      <c r="H12" s="15"/>
      <c r="I12" s="12"/>
    </row>
    <row r="13" spans="1:9" ht="25.5" x14ac:dyDescent="0.25">
      <c r="A13" s="4" t="s">
        <v>5</v>
      </c>
      <c r="B13" s="5">
        <v>156</v>
      </c>
      <c r="C13" s="16" t="s">
        <v>21</v>
      </c>
      <c r="D13" s="27"/>
      <c r="E13" s="27"/>
      <c r="F13" s="27"/>
      <c r="G13" s="1"/>
    </row>
    <row r="14" spans="1:9" ht="25.5" x14ac:dyDescent="0.25">
      <c r="A14" s="4" t="s">
        <v>4</v>
      </c>
      <c r="B14" s="5">
        <v>147</v>
      </c>
      <c r="C14" s="16" t="s">
        <v>15</v>
      </c>
      <c r="D14" s="27"/>
      <c r="E14" s="27"/>
      <c r="F14" s="27"/>
      <c r="G14" s="1"/>
    </row>
    <row r="15" spans="1:9" ht="25.5" x14ac:dyDescent="0.25">
      <c r="A15" s="4" t="s">
        <v>5</v>
      </c>
      <c r="B15" s="5">
        <v>124</v>
      </c>
      <c r="C15" s="16" t="s">
        <v>22</v>
      </c>
      <c r="D15" s="27"/>
      <c r="E15" s="27"/>
      <c r="F15" s="27"/>
      <c r="G15" s="1"/>
    </row>
    <row r="16" spans="1:9" ht="25.5" x14ac:dyDescent="0.25">
      <c r="A16" s="4" t="s">
        <v>3</v>
      </c>
      <c r="B16" s="5">
        <v>194</v>
      </c>
      <c r="C16" s="16" t="s">
        <v>23</v>
      </c>
      <c r="D16" s="27"/>
      <c r="E16" s="27"/>
      <c r="F16" s="27"/>
      <c r="G16" s="1"/>
    </row>
  </sheetData>
  <mergeCells count="2">
    <mergeCell ref="A2:C2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9D1C-9DBB-4A18-BF0B-AB54C784BF0B}">
  <dimension ref="A1:H16"/>
  <sheetViews>
    <sheetView zoomScaleNormal="100" workbookViewId="0">
      <selection activeCell="C10" sqref="A1:C16"/>
    </sheetView>
  </sheetViews>
  <sheetFormatPr defaultRowHeight="15" x14ac:dyDescent="0.25"/>
  <cols>
    <col min="1" max="1" width="15.85546875" customWidth="1"/>
    <col min="2" max="2" width="19.7109375" customWidth="1"/>
    <col min="3" max="3" width="18.85546875" customWidth="1"/>
    <col min="8" max="8" width="70.85546875" customWidth="1"/>
  </cols>
  <sheetData>
    <row r="1" spans="1:8" ht="20.25" x14ac:dyDescent="0.25">
      <c r="A1" s="19" t="s">
        <v>6</v>
      </c>
      <c r="B1" s="19"/>
      <c r="C1" s="19"/>
    </row>
    <row r="2" spans="1:8" ht="20.25" x14ac:dyDescent="0.25">
      <c r="A2" s="26" t="s">
        <v>11</v>
      </c>
      <c r="B2" s="26"/>
      <c r="C2" s="26"/>
    </row>
    <row r="3" spans="1:8" ht="22.5" x14ac:dyDescent="0.25">
      <c r="A3" s="22" t="s">
        <v>0</v>
      </c>
      <c r="B3" s="23" t="s">
        <v>1</v>
      </c>
      <c r="C3" s="23" t="s">
        <v>2</v>
      </c>
    </row>
    <row r="4" spans="1:8" ht="25.5" x14ac:dyDescent="0.25">
      <c r="A4" s="24" t="s">
        <v>3</v>
      </c>
      <c r="B4" s="25">
        <v>106</v>
      </c>
      <c r="C4" s="16" t="s">
        <v>13</v>
      </c>
      <c r="H4" s="29"/>
    </row>
    <row r="5" spans="1:8" ht="25.5" x14ac:dyDescent="0.25">
      <c r="A5" s="24" t="s">
        <v>4</v>
      </c>
      <c r="B5" s="25">
        <v>118</v>
      </c>
      <c r="C5" s="16" t="s">
        <v>14</v>
      </c>
      <c r="H5" s="30" t="s">
        <v>30</v>
      </c>
    </row>
    <row r="6" spans="1:8" ht="25.5" x14ac:dyDescent="0.25">
      <c r="A6" s="24" t="s">
        <v>3</v>
      </c>
      <c r="B6" s="25">
        <v>0</v>
      </c>
      <c r="C6" s="16" t="s">
        <v>15</v>
      </c>
      <c r="H6" s="31" t="s">
        <v>31</v>
      </c>
    </row>
    <row r="7" spans="1:8" ht="25.5" x14ac:dyDescent="0.25">
      <c r="A7" s="24" t="s">
        <v>4</v>
      </c>
      <c r="B7" s="25">
        <v>142</v>
      </c>
      <c r="C7" s="16" t="s">
        <v>15</v>
      </c>
    </row>
    <row r="8" spans="1:8" ht="25.5" x14ac:dyDescent="0.25">
      <c r="A8" s="24" t="s">
        <v>3</v>
      </c>
      <c r="B8" s="25">
        <v>139</v>
      </c>
      <c r="C8" s="16" t="s">
        <v>16</v>
      </c>
    </row>
    <row r="9" spans="1:8" ht="25.5" x14ac:dyDescent="0.25">
      <c r="A9" s="24" t="s">
        <v>5</v>
      </c>
      <c r="B9" s="25">
        <v>0</v>
      </c>
      <c r="C9" s="16" t="s">
        <v>17</v>
      </c>
    </row>
    <row r="10" spans="1:8" ht="25.5" x14ac:dyDescent="0.25">
      <c r="A10" s="24" t="s">
        <v>3</v>
      </c>
      <c r="B10" s="25">
        <v>152</v>
      </c>
      <c r="C10" s="16" t="s">
        <v>18</v>
      </c>
    </row>
    <row r="11" spans="1:8" ht="25.5" x14ac:dyDescent="0.25">
      <c r="A11" s="24" t="s">
        <v>5</v>
      </c>
      <c r="B11" s="25">
        <v>126</v>
      </c>
      <c r="C11" s="16" t="s">
        <v>19</v>
      </c>
    </row>
    <row r="12" spans="1:8" ht="25.5" x14ac:dyDescent="0.25">
      <c r="A12" s="24" t="s">
        <v>4</v>
      </c>
      <c r="B12" s="25">
        <v>0</v>
      </c>
      <c r="C12" s="16" t="s">
        <v>20</v>
      </c>
    </row>
    <row r="13" spans="1:8" ht="25.5" x14ac:dyDescent="0.25">
      <c r="A13" s="24" t="s">
        <v>5</v>
      </c>
      <c r="B13" s="25">
        <v>156</v>
      </c>
      <c r="C13" s="16" t="s">
        <v>21</v>
      </c>
    </row>
    <row r="14" spans="1:8" ht="25.5" x14ac:dyDescent="0.25">
      <c r="A14" s="24" t="s">
        <v>4</v>
      </c>
      <c r="B14" s="25">
        <v>147</v>
      </c>
      <c r="C14" s="16" t="s">
        <v>15</v>
      </c>
    </row>
    <row r="15" spans="1:8" ht="25.5" x14ac:dyDescent="0.25">
      <c r="A15" s="24" t="s">
        <v>5</v>
      </c>
      <c r="B15" s="25">
        <v>124</v>
      </c>
      <c r="C15" s="16" t="s">
        <v>22</v>
      </c>
    </row>
    <row r="16" spans="1:8" ht="25.5" x14ac:dyDescent="0.25">
      <c r="A16" s="24" t="s">
        <v>3</v>
      </c>
      <c r="B16" s="25">
        <v>194</v>
      </c>
      <c r="C16" s="16" t="s">
        <v>23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88ED-B121-4804-BBD0-CFF2AF723FED}">
  <dimension ref="A1:I16"/>
  <sheetViews>
    <sheetView tabSelected="1" topLeftCell="A4" workbookViewId="0">
      <selection activeCell="A7" sqref="A7"/>
    </sheetView>
  </sheetViews>
  <sheetFormatPr defaultRowHeight="15" x14ac:dyDescent="0.25"/>
  <cols>
    <col min="1" max="1" width="27.7109375" customWidth="1"/>
    <col min="2" max="2" width="15.28515625" customWidth="1"/>
    <col min="3" max="3" width="24.7109375" customWidth="1"/>
    <col min="8" max="8" width="26.85546875" customWidth="1"/>
    <col min="9" max="9" width="15.28515625" customWidth="1"/>
  </cols>
  <sheetData>
    <row r="1" spans="1:9" ht="20.25" x14ac:dyDescent="0.25">
      <c r="A1" s="19" t="s">
        <v>6</v>
      </c>
      <c r="B1" s="19"/>
      <c r="C1" s="19"/>
    </row>
    <row r="2" spans="1:9" ht="20.25" x14ac:dyDescent="0.25">
      <c r="A2" s="26" t="s">
        <v>11</v>
      </c>
      <c r="B2" s="26"/>
      <c r="C2" s="26"/>
    </row>
    <row r="3" spans="1:9" ht="22.5" x14ac:dyDescent="0.25">
      <c r="A3" s="22" t="s">
        <v>0</v>
      </c>
      <c r="B3" s="23" t="s">
        <v>1</v>
      </c>
      <c r="C3" s="23" t="s">
        <v>2</v>
      </c>
    </row>
    <row r="4" spans="1:9" ht="25.5" x14ac:dyDescent="0.25">
      <c r="A4" s="24" t="s">
        <v>3</v>
      </c>
      <c r="B4" s="25">
        <v>106</v>
      </c>
      <c r="C4" s="16" t="s">
        <v>13</v>
      </c>
      <c r="H4" s="23" t="s">
        <v>33</v>
      </c>
      <c r="I4" s="32" t="s">
        <v>35</v>
      </c>
    </row>
    <row r="5" spans="1:9" ht="25.5" x14ac:dyDescent="0.25">
      <c r="A5" s="39" t="s">
        <v>37</v>
      </c>
      <c r="B5" s="25">
        <v>118</v>
      </c>
      <c r="C5" s="16" t="s">
        <v>14</v>
      </c>
      <c r="H5" s="32" t="s">
        <v>34</v>
      </c>
      <c r="I5" s="23">
        <f>AVERAGEIF(A4:A16,"&lt;&gt;"&amp;H5,B4:B16)</f>
        <v>101.625</v>
      </c>
    </row>
    <row r="6" spans="1:9" ht="25.5" x14ac:dyDescent="0.25">
      <c r="A6" s="24" t="s">
        <v>3</v>
      </c>
      <c r="B6" s="25">
        <v>0</v>
      </c>
      <c r="C6" s="16" t="s">
        <v>15</v>
      </c>
      <c r="E6" s="35"/>
    </row>
    <row r="7" spans="1:9" ht="25.5" customHeight="1" x14ac:dyDescent="0.25">
      <c r="A7" s="24" t="s">
        <v>4</v>
      </c>
      <c r="B7" s="25">
        <v>142</v>
      </c>
      <c r="C7" s="16" t="s">
        <v>15</v>
      </c>
      <c r="H7" s="33" t="s">
        <v>36</v>
      </c>
      <c r="I7" s="33" t="s">
        <v>28</v>
      </c>
    </row>
    <row r="8" spans="1:9" ht="25.5" x14ac:dyDescent="0.25">
      <c r="A8" s="24" t="s">
        <v>3</v>
      </c>
      <c r="B8" s="25">
        <v>139</v>
      </c>
      <c r="C8" s="16" t="s">
        <v>16</v>
      </c>
      <c r="H8" s="37"/>
      <c r="I8" s="34"/>
    </row>
    <row r="9" spans="1:9" ht="25.5" x14ac:dyDescent="0.25">
      <c r="A9" s="24" t="s">
        <v>5</v>
      </c>
      <c r="B9" s="25">
        <v>0</v>
      </c>
      <c r="C9" s="16" t="s">
        <v>17</v>
      </c>
      <c r="H9" s="38" t="s">
        <v>32</v>
      </c>
      <c r="I9" s="23">
        <f>AVERAGEIF(A4:A16,"&lt;&gt;"&amp;"*"&amp;H9,B4:B16)</f>
        <v>110.77777777777777</v>
      </c>
    </row>
    <row r="10" spans="1:9" ht="25.5" x14ac:dyDescent="0.25">
      <c r="A10" s="24" t="s">
        <v>3</v>
      </c>
      <c r="B10" s="25">
        <v>152</v>
      </c>
      <c r="C10" s="16" t="s">
        <v>18</v>
      </c>
      <c r="H10" s="36"/>
    </row>
    <row r="11" spans="1:9" ht="25.5" x14ac:dyDescent="0.25">
      <c r="A11" s="24" t="s">
        <v>5</v>
      </c>
      <c r="B11" s="25">
        <v>126</v>
      </c>
      <c r="C11" s="16" t="s">
        <v>19</v>
      </c>
    </row>
    <row r="12" spans="1:9" ht="25.5" x14ac:dyDescent="0.25">
      <c r="A12" s="24" t="s">
        <v>4</v>
      </c>
      <c r="B12" s="25">
        <v>0</v>
      </c>
      <c r="C12" s="16" t="s">
        <v>20</v>
      </c>
    </row>
    <row r="13" spans="1:9" ht="25.5" x14ac:dyDescent="0.25">
      <c r="A13" s="24" t="s">
        <v>5</v>
      </c>
      <c r="B13" s="25">
        <v>156</v>
      </c>
      <c r="C13" s="16" t="s">
        <v>21</v>
      </c>
    </row>
    <row r="14" spans="1:9" ht="25.5" x14ac:dyDescent="0.25">
      <c r="A14" s="24" t="s">
        <v>4</v>
      </c>
      <c r="B14" s="25">
        <v>147</v>
      </c>
      <c r="C14" s="16" t="s">
        <v>15</v>
      </c>
    </row>
    <row r="15" spans="1:9" ht="25.5" x14ac:dyDescent="0.25">
      <c r="A15" s="24" t="s">
        <v>5</v>
      </c>
      <c r="B15" s="25">
        <v>124</v>
      </c>
      <c r="C15" s="16" t="s">
        <v>22</v>
      </c>
    </row>
    <row r="16" spans="1:9" ht="25.5" x14ac:dyDescent="0.25">
      <c r="A16" s="24" t="s">
        <v>3</v>
      </c>
      <c r="B16" s="25">
        <v>194</v>
      </c>
      <c r="C16" s="16" t="s">
        <v>23</v>
      </c>
    </row>
  </sheetData>
  <mergeCells count="4">
    <mergeCell ref="A1:C1"/>
    <mergeCell ref="A2:C2"/>
    <mergeCell ref="H7:H8"/>
    <mergeCell ref="I7:I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07C8-CBAD-4BBE-BE67-6B9C32DE69A1}">
  <dimension ref="A1:H16"/>
  <sheetViews>
    <sheetView workbookViewId="0">
      <selection activeCell="H5" sqref="H5"/>
    </sheetView>
  </sheetViews>
  <sheetFormatPr defaultRowHeight="15" x14ac:dyDescent="0.25"/>
  <cols>
    <col min="1" max="1" width="15.85546875" customWidth="1"/>
    <col min="2" max="2" width="16.28515625" customWidth="1"/>
    <col min="3" max="3" width="17.85546875" customWidth="1"/>
    <col min="7" max="7" width="14.5703125" customWidth="1"/>
    <col min="8" max="8" width="11" customWidth="1"/>
  </cols>
  <sheetData>
    <row r="1" spans="1:8" ht="20.25" x14ac:dyDescent="0.25">
      <c r="A1" s="19" t="s">
        <v>6</v>
      </c>
      <c r="B1" s="19"/>
      <c r="C1" s="19"/>
    </row>
    <row r="2" spans="1:8" ht="20.25" x14ac:dyDescent="0.25">
      <c r="A2" s="26" t="s">
        <v>11</v>
      </c>
      <c r="B2" s="26"/>
      <c r="C2" s="26"/>
    </row>
    <row r="3" spans="1:8" ht="22.5" x14ac:dyDescent="0.25">
      <c r="A3" s="22" t="s">
        <v>0</v>
      </c>
      <c r="B3" s="23" t="s">
        <v>1</v>
      </c>
      <c r="C3" s="23" t="s">
        <v>2</v>
      </c>
    </row>
    <row r="4" spans="1:8" ht="27.75" customHeight="1" x14ac:dyDescent="0.25">
      <c r="A4" s="24" t="s">
        <v>3</v>
      </c>
      <c r="B4" s="25">
        <v>106</v>
      </c>
      <c r="C4" s="16" t="s">
        <v>13</v>
      </c>
      <c r="G4" s="23" t="s">
        <v>12</v>
      </c>
      <c r="H4" s="23" t="s">
        <v>32</v>
      </c>
    </row>
    <row r="5" spans="1:8" ht="25.5" x14ac:dyDescent="0.25">
      <c r="A5" s="24" t="s">
        <v>4</v>
      </c>
      <c r="B5" s="25">
        <v>118</v>
      </c>
      <c r="C5" s="16" t="s">
        <v>14</v>
      </c>
      <c r="G5" s="23" t="s">
        <v>28</v>
      </c>
      <c r="H5" s="23">
        <f>AVERAGEIF(A4:A16,H4,B4:B16)</f>
        <v>101.75</v>
      </c>
    </row>
    <row r="6" spans="1:8" ht="25.5" x14ac:dyDescent="0.25">
      <c r="A6" s="24" t="s">
        <v>3</v>
      </c>
      <c r="B6" s="25">
        <v>0</v>
      </c>
      <c r="C6" s="16" t="s">
        <v>15</v>
      </c>
    </row>
    <row r="7" spans="1:8" ht="25.5" x14ac:dyDescent="0.25">
      <c r="A7" s="24" t="s">
        <v>4</v>
      </c>
      <c r="B7" s="25">
        <v>142</v>
      </c>
      <c r="C7" s="16" t="s">
        <v>15</v>
      </c>
    </row>
    <row r="8" spans="1:8" ht="25.5" x14ac:dyDescent="0.25">
      <c r="A8" s="24" t="s">
        <v>3</v>
      </c>
      <c r="B8" s="25">
        <v>139</v>
      </c>
      <c r="C8" s="16" t="s">
        <v>16</v>
      </c>
    </row>
    <row r="9" spans="1:8" ht="25.5" x14ac:dyDescent="0.25">
      <c r="A9" s="24" t="s">
        <v>5</v>
      </c>
      <c r="B9" s="25">
        <v>0</v>
      </c>
      <c r="C9" s="16" t="s">
        <v>17</v>
      </c>
    </row>
    <row r="10" spans="1:8" ht="25.5" x14ac:dyDescent="0.25">
      <c r="A10" s="24" t="s">
        <v>3</v>
      </c>
      <c r="B10" s="25">
        <v>152</v>
      </c>
      <c r="C10" s="16" t="s">
        <v>18</v>
      </c>
    </row>
    <row r="11" spans="1:8" ht="25.5" x14ac:dyDescent="0.25">
      <c r="A11" s="24" t="s">
        <v>5</v>
      </c>
      <c r="B11" s="25">
        <v>126</v>
      </c>
      <c r="C11" s="16" t="s">
        <v>19</v>
      </c>
    </row>
    <row r="12" spans="1:8" ht="25.5" x14ac:dyDescent="0.25">
      <c r="A12" s="24" t="s">
        <v>4</v>
      </c>
      <c r="B12" s="25">
        <v>0</v>
      </c>
      <c r="C12" s="16" t="s">
        <v>20</v>
      </c>
    </row>
    <row r="13" spans="1:8" ht="25.5" x14ac:dyDescent="0.25">
      <c r="A13" s="24" t="s">
        <v>5</v>
      </c>
      <c r="B13" s="25">
        <v>156</v>
      </c>
      <c r="C13" s="16" t="s">
        <v>21</v>
      </c>
    </row>
    <row r="14" spans="1:8" ht="25.5" x14ac:dyDescent="0.25">
      <c r="A14" s="24" t="s">
        <v>4</v>
      </c>
      <c r="B14" s="25">
        <v>147</v>
      </c>
      <c r="C14" s="16" t="s">
        <v>15</v>
      </c>
    </row>
    <row r="15" spans="1:8" ht="25.5" x14ac:dyDescent="0.25">
      <c r="A15" s="24" t="s">
        <v>5</v>
      </c>
      <c r="B15" s="25">
        <v>124</v>
      </c>
      <c r="C15" s="16" t="s">
        <v>22</v>
      </c>
    </row>
    <row r="16" spans="1:8" ht="25.5" x14ac:dyDescent="0.25">
      <c r="A16" s="24" t="s">
        <v>3</v>
      </c>
      <c r="B16" s="25">
        <v>194</v>
      </c>
      <c r="C16" s="16" t="s">
        <v>23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B7AE-1F61-4C23-8ABC-56F149BD39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AverageIF Function</vt:lpstr>
      <vt:lpstr>AverageIf based on another cell</vt:lpstr>
      <vt:lpstr>Sheet1</vt:lpstr>
      <vt:lpstr>Averageif Exclude Function</vt:lpstr>
      <vt:lpstr>AverageIF Text criteria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2026-04-21T05:28:34Z</dcterms:created>
  <dcterms:modified xsi:type="dcterms:W3CDTF">2026-04-21T07:38:23Z</dcterms:modified>
</cp:coreProperties>
</file>