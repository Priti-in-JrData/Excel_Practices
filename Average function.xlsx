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eeti(EXCEL)\"/>
    </mc:Choice>
  </mc:AlternateContent>
  <xr:revisionPtr revIDLastSave="0" documentId="13_ncr:1_{26EC1D1B-A0E4-46E2-B949-59D2D54D6DAA}" xr6:coauthVersionLast="36" xr6:coauthVersionMax="36" xr10:uidLastSave="{00000000-0000-0000-0000-000000000000}"/>
  <bookViews>
    <workbookView xWindow="0" yWindow="0" windowWidth="20490" windowHeight="7545" firstSheet="2" activeTab="4" xr2:uid="{AA87545B-BD8B-476A-AF68-517AD33112C3}"/>
  </bookViews>
  <sheets>
    <sheet name="AverafeIFS Function" sheetId="1" r:id="rId1"/>
    <sheet name="Averageifs With Text" sheetId="2" r:id="rId2"/>
    <sheet name="AverageIFS wildcards" sheetId="4" r:id="rId3"/>
    <sheet name="AverageIFS If Between" sheetId="5" r:id="rId4"/>
    <sheet name="AverageIFS logical Operations" sheetId="3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5" i="5" l="1"/>
  <c r="H5" i="5"/>
  <c r="H6" i="4"/>
  <c r="H6" i="3"/>
  <c r="I7" i="2"/>
  <c r="H7" i="1"/>
</calcChain>
</file>

<file path=xl/sharedStrings.xml><?xml version="1.0" encoding="utf-8"?>
<sst xmlns="http://schemas.openxmlformats.org/spreadsheetml/2006/main" count="182" uniqueCount="20">
  <si>
    <t>Item</t>
  </si>
  <si>
    <t>Apple</t>
  </si>
  <si>
    <t>Banana</t>
  </si>
  <si>
    <t>Orange</t>
  </si>
  <si>
    <t>North</t>
  </si>
  <si>
    <t>South</t>
  </si>
  <si>
    <t>Region</t>
  </si>
  <si>
    <t>Sales</t>
  </si>
  <si>
    <t>Criteria</t>
  </si>
  <si>
    <t>Delivery</t>
  </si>
  <si>
    <t>&gt;0</t>
  </si>
  <si>
    <t>Averageifs</t>
  </si>
  <si>
    <t>Delivery by</t>
  </si>
  <si>
    <t>Sales greater than</t>
  </si>
  <si>
    <t>South-East</t>
  </si>
  <si>
    <t>South-West</t>
  </si>
  <si>
    <t>North-West</t>
  </si>
  <si>
    <t>Sales Between</t>
  </si>
  <si>
    <t>Dates Between</t>
  </si>
  <si>
    <t>AverageIFS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</si>
</sst>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6" formatCode="[$-409]d\-mmm;@"/>
  </numFmts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7" xfId="0" applyFont="1" applyBorder="1"/>
    <xf numFmtId="0" fontId="1" fillId="0" borderId="8" xfId="0" applyFont="1" applyBorder="1"/>
    <xf numFmtId="164" fontId="1" fillId="0" borderId="6" xfId="0" applyNumberFormat="1" applyFont="1" applyBorder="1"/>
    <xf numFmtId="164" fontId="1" fillId="0" borderId="3" xfId="0" applyNumberFormat="1" applyFont="1" applyBorder="1"/>
    <xf numFmtId="164" fontId="1" fillId="0" borderId="9" xfId="0" applyNumberFormat="1" applyFont="1" applyBorder="1"/>
    <xf numFmtId="164" fontId="1" fillId="0" borderId="1" xfId="0" applyNumberFormat="1" applyFont="1" applyBorder="1"/>
    <xf numFmtId="164" fontId="1" fillId="0" borderId="3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0" fontId="4" fillId="0" borderId="0" xfId="0" applyFont="1"/>
    <xf numFmtId="0" fontId="3" fillId="0" borderId="0" xfId="0" applyFont="1"/>
    <xf numFmtId="14" fontId="0" fillId="0" borderId="0" xfId="0" applyNumberFormat="1"/>
    <xf numFmtId="166" fontId="1" fillId="0" borderId="3" xfId="0" applyNumberFormat="1" applyFont="1" applyBorder="1"/>
    <xf numFmtId="166" fontId="1" fillId="0" borderId="6" xfId="0" applyNumberFormat="1" applyFont="1" applyBorder="1"/>
    <xf numFmtId="166" fontId="0" fillId="0" borderId="0" xfId="0" applyNumberFormat="1"/>
    <xf numFmtId="166" fontId="1" fillId="0" borderId="1" xfId="0" applyNumberFormat="1" applyFont="1" applyBorder="1"/>
    <xf numFmtId="166" fontId="2" fillId="2" borderId="10" xfId="0" applyNumberFormat="1" applyFont="1" applyFill="1" applyBorder="1" applyAlignment="1">
      <alignment horizontal="center"/>
    </xf>
    <xf numFmtId="166" fontId="2" fillId="2" borderId="0" xfId="0" applyNumberFormat="1" applyFont="1" applyFill="1" applyBorder="1" applyAlignment="1">
      <alignment horizontal="center"/>
    </xf>
    <xf numFmtId="166" fontId="1" fillId="0" borderId="6" xfId="0" applyNumberFormat="1" applyFont="1" applyBorder="1" applyAlignment="1">
      <alignment horizontal="center"/>
    </xf>
    <xf numFmtId="166" fontId="1" fillId="0" borderId="11" xfId="0" applyNumberFormat="1" applyFont="1" applyBorder="1" applyAlignment="1">
      <alignment horizontal="center"/>
    </xf>
    <xf numFmtId="166" fontId="1" fillId="0" borderId="0" xfId="0" applyNumberFormat="1" applyFont="1" applyBorder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39"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6" formatCode="[$-409]d\-mmm;@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4" formatCode="&quot;$&quot;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6" formatCode="[$-409]d\-mmm;@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4" formatCode="&quot;$&quot;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6" formatCode="[$-409]d\-mmm;@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4" formatCode="&quot;$&quot;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6" formatCode="[$-409]d\-mmm;@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4" formatCode="&quot;$&quot;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6" formatCode="[$-409]d\-mmm;@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4" formatCode="&quot;$&quot;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9AE440-6712-4C34-9156-E76A4322B0FF}" name="Table1" displayName="Table1" ref="A2:D17" totalsRowShown="0" headerRowDxfId="33" headerRowBorderDxfId="37" tableBorderDxfId="38" totalsRowBorderDxfId="36">
  <tableColumns count="4">
    <tableColumn id="1" xr3:uid="{F3BE8951-CFAB-4A8D-84D0-843F42F83A88}" name="Item" dataDxfId="35"/>
    <tableColumn id="2" xr3:uid="{D52282E9-A84C-4501-860F-3CFBF4C93378}" name="Region" dataDxfId="34"/>
    <tableColumn id="3" xr3:uid="{32D20073-25A9-44F8-87F5-34A3DE7622D5}" name="Sales" dataDxfId="32"/>
    <tableColumn id="4" xr3:uid="{1D4264F9-334E-4573-BCA9-5DB9007DA139}" name="Delivery" dataDxfId="3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D30DAD-1A03-481C-973C-610FBAE1AC5A}" name="Table13" displayName="Table13" ref="A1:D16" totalsRowShown="0" headerRowDxfId="30" headerRowBorderDxfId="28" tableBorderDxfId="29" totalsRowBorderDxfId="27">
  <tableColumns count="4">
    <tableColumn id="1" xr3:uid="{8552BAC6-BDA1-4924-904A-2BBBE88341AA}" name="Item" dataDxfId="26"/>
    <tableColumn id="2" xr3:uid="{E09876E5-21FF-4476-AD49-53DF7B0DC03D}" name="Region" dataDxfId="25"/>
    <tableColumn id="3" xr3:uid="{CCD40654-BD25-4622-BA68-51F87526DB90}" name="Sales" dataDxfId="24"/>
    <tableColumn id="4" xr3:uid="{50E2E967-B7DF-4E60-82EB-E8C4027CD190}" name="Delivery" dataDxfId="23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B7BE8F0-DE00-489E-BD79-940D5B5499DA}" name="Table135" displayName="Table135" ref="A1:D16" totalsRowShown="0" headerRowDxfId="15" headerRowBorderDxfId="13" tableBorderDxfId="14" totalsRowBorderDxfId="12">
  <tableColumns count="4">
    <tableColumn id="1" xr3:uid="{8DE936CD-B8CA-483B-BCC6-C8C34BF79683}" name="Item" dataDxfId="11"/>
    <tableColumn id="2" xr3:uid="{8A2EBB4F-B275-4CD9-9BBC-931A8A5177B0}" name="Region" dataDxfId="10"/>
    <tableColumn id="3" xr3:uid="{06ED80FB-0FB2-4A8C-865F-D57D8D0F88B1}" name="Sales" dataDxfId="9"/>
    <tableColumn id="4" xr3:uid="{29358F25-7A51-421E-B2D2-C6A03466647C}" name="Delivery" dataDxfId="8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3EB612E-6DF3-4F82-80A9-8E115883A151}" name="Table1356" displayName="Table1356" ref="A1:D16" totalsRowShown="0" headerRowDxfId="7" headerRowBorderDxfId="5" tableBorderDxfId="6" totalsRowBorderDxfId="4">
  <tableColumns count="4">
    <tableColumn id="1" xr3:uid="{F335ECD8-414B-4676-9F34-F1923BB97718}" name="Item" dataDxfId="3"/>
    <tableColumn id="2" xr3:uid="{871A584A-368C-4771-8D26-92F609B43EF7}" name="Region" dataDxfId="2"/>
    <tableColumn id="3" xr3:uid="{F9AF1061-1AD4-4063-A17B-2FA0DE0C39D5}" name="Sales" dataDxfId="1"/>
    <tableColumn id="4" xr3:uid="{605C11A6-2E6D-44A1-9EC7-3972863D7F82}" name="Delivery" dataDxfId="0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F5FDDE0-799D-4D81-B6BF-C72A508FEA69}" name="Table134" displayName="Table134" ref="A1:C16" totalsRowShown="0" headerRowDxfId="22" headerRowBorderDxfId="20" tableBorderDxfId="21" totalsRowBorderDxfId="19">
  <tableColumns count="3">
    <tableColumn id="1" xr3:uid="{52ECD4CB-CABD-4F5F-AB38-0654FE5549D2}" name="Item" dataDxfId="18"/>
    <tableColumn id="4" xr3:uid="{F493D9CF-8CED-47B5-95DB-1F830ADFAA94}" name="Delivery" dataDxfId="16"/>
    <tableColumn id="3" xr3:uid="{1EA32D05-6101-41CB-B515-2C95CCA8C6C2}" name="Sales" dataDxfId="17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4997F-D690-4226-BC54-C346AA4A298D}">
  <dimension ref="A1:H17"/>
  <sheetViews>
    <sheetView workbookViewId="0">
      <selection activeCell="C12" sqref="C12"/>
    </sheetView>
  </sheetViews>
  <sheetFormatPr defaultRowHeight="15" x14ac:dyDescent="0.25"/>
  <cols>
    <col min="1" max="1" width="14.42578125" customWidth="1"/>
    <col min="2" max="3" width="14.140625" customWidth="1"/>
    <col min="4" max="4" width="13.5703125" style="19" customWidth="1"/>
    <col min="7" max="7" width="17.42578125" customWidth="1"/>
    <col min="8" max="8" width="15.140625" customWidth="1"/>
    <col min="9" max="9" width="9.28515625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ht="21" x14ac:dyDescent="0.35">
      <c r="A2" s="4" t="s">
        <v>0</v>
      </c>
      <c r="B2" s="5" t="s">
        <v>6</v>
      </c>
      <c r="C2" s="8" t="s">
        <v>7</v>
      </c>
      <c r="D2" s="18" t="s">
        <v>9</v>
      </c>
    </row>
    <row r="3" spans="1:8" ht="21" x14ac:dyDescent="0.35">
      <c r="A3" s="3" t="s">
        <v>1</v>
      </c>
      <c r="B3" s="2" t="s">
        <v>7</v>
      </c>
      <c r="C3" s="9">
        <v>106</v>
      </c>
      <c r="D3" s="17">
        <v>46356</v>
      </c>
      <c r="E3" s="16"/>
      <c r="G3" s="12" t="s">
        <v>8</v>
      </c>
      <c r="H3" s="13"/>
    </row>
    <row r="4" spans="1:8" ht="21" x14ac:dyDescent="0.35">
      <c r="A4" s="3" t="s">
        <v>2</v>
      </c>
      <c r="B4" s="2" t="s">
        <v>5</v>
      </c>
      <c r="C4" s="9">
        <v>118</v>
      </c>
      <c r="D4" s="17">
        <v>45976</v>
      </c>
      <c r="G4" s="11" t="s">
        <v>7</v>
      </c>
      <c r="H4" s="11" t="s">
        <v>10</v>
      </c>
    </row>
    <row r="5" spans="1:8" ht="21" x14ac:dyDescent="0.35">
      <c r="A5" s="3" t="s">
        <v>3</v>
      </c>
      <c r="B5" s="2" t="s">
        <v>4</v>
      </c>
      <c r="C5" s="9">
        <v>110</v>
      </c>
      <c r="D5" s="17">
        <v>45596</v>
      </c>
      <c r="G5" s="11" t="s">
        <v>6</v>
      </c>
      <c r="H5" s="11" t="s">
        <v>5</v>
      </c>
    </row>
    <row r="6" spans="1:8" ht="21" x14ac:dyDescent="0.35">
      <c r="A6" s="3" t="s">
        <v>1</v>
      </c>
      <c r="B6" s="2" t="s">
        <v>5</v>
      </c>
      <c r="C6" s="9">
        <v>252</v>
      </c>
      <c r="D6" s="17">
        <v>45216</v>
      </c>
      <c r="G6" s="11" t="s">
        <v>9</v>
      </c>
      <c r="H6" s="20">
        <v>45216</v>
      </c>
    </row>
    <row r="7" spans="1:8" ht="21" x14ac:dyDescent="0.35">
      <c r="A7" s="3" t="s">
        <v>2</v>
      </c>
      <c r="B7" s="2" t="s">
        <v>4</v>
      </c>
      <c r="C7" s="9">
        <v>106</v>
      </c>
      <c r="D7" s="17">
        <v>44836</v>
      </c>
      <c r="G7" s="11" t="s">
        <v>11</v>
      </c>
      <c r="H7" s="11">
        <f>AVERAGEIFS(C3:C17,C3:C17,H4,B3:B17,H5,D3:D17,H6 )</f>
        <v>252</v>
      </c>
    </row>
    <row r="8" spans="1:8" ht="21" x14ac:dyDescent="0.35">
      <c r="A8" s="3" t="s">
        <v>3</v>
      </c>
      <c r="B8" s="2" t="s">
        <v>5</v>
      </c>
      <c r="C8" s="9">
        <v>118</v>
      </c>
      <c r="D8" s="17">
        <v>44456</v>
      </c>
    </row>
    <row r="9" spans="1:8" ht="21" x14ac:dyDescent="0.35">
      <c r="A9" s="3" t="s">
        <v>1</v>
      </c>
      <c r="B9" s="2" t="s">
        <v>4</v>
      </c>
      <c r="C9" s="9">
        <v>110</v>
      </c>
      <c r="D9" s="17">
        <v>44076</v>
      </c>
    </row>
    <row r="10" spans="1:8" ht="21" x14ac:dyDescent="0.35">
      <c r="A10" s="3" t="s">
        <v>2</v>
      </c>
      <c r="B10" s="2" t="s">
        <v>5</v>
      </c>
      <c r="C10" s="9">
        <v>252</v>
      </c>
      <c r="D10" s="17">
        <v>43696</v>
      </c>
    </row>
    <row r="11" spans="1:8" ht="21" x14ac:dyDescent="0.35">
      <c r="A11" s="3" t="s">
        <v>3</v>
      </c>
      <c r="B11" s="2" t="s">
        <v>4</v>
      </c>
      <c r="C11" s="9">
        <v>106</v>
      </c>
      <c r="D11" s="17">
        <v>43316</v>
      </c>
    </row>
    <row r="12" spans="1:8" ht="21" x14ac:dyDescent="0.35">
      <c r="A12" s="3" t="s">
        <v>1</v>
      </c>
      <c r="B12" s="2" t="s">
        <v>5</v>
      </c>
      <c r="C12" s="9">
        <v>118</v>
      </c>
      <c r="D12" s="17">
        <v>42936</v>
      </c>
    </row>
    <row r="13" spans="1:8" ht="21" x14ac:dyDescent="0.35">
      <c r="A13" s="3" t="s">
        <v>2</v>
      </c>
      <c r="B13" s="2" t="s">
        <v>4</v>
      </c>
      <c r="C13" s="9">
        <v>110</v>
      </c>
      <c r="D13" s="17">
        <v>42556</v>
      </c>
    </row>
    <row r="14" spans="1:8" ht="21" x14ac:dyDescent="0.35">
      <c r="A14" s="3" t="s">
        <v>3</v>
      </c>
      <c r="B14" s="2" t="s">
        <v>5</v>
      </c>
      <c r="C14" s="9">
        <v>252</v>
      </c>
      <c r="D14" s="17">
        <v>42176</v>
      </c>
    </row>
    <row r="15" spans="1:8" ht="21" x14ac:dyDescent="0.35">
      <c r="A15" s="3" t="s">
        <v>1</v>
      </c>
      <c r="B15" s="2" t="s">
        <v>4</v>
      </c>
      <c r="C15" s="9">
        <v>106</v>
      </c>
      <c r="D15" s="17">
        <v>41796</v>
      </c>
    </row>
    <row r="16" spans="1:8" ht="21" x14ac:dyDescent="0.35">
      <c r="A16" s="3" t="s">
        <v>2</v>
      </c>
      <c r="B16" s="2" t="s">
        <v>5</v>
      </c>
      <c r="C16" s="9">
        <v>118</v>
      </c>
      <c r="D16" s="17">
        <v>41416</v>
      </c>
    </row>
    <row r="17" spans="1:4" ht="21" x14ac:dyDescent="0.35">
      <c r="A17" s="6" t="s">
        <v>3</v>
      </c>
      <c r="B17" s="7" t="s">
        <v>4</v>
      </c>
      <c r="C17" s="10">
        <v>110</v>
      </c>
      <c r="D17" s="17">
        <v>41036</v>
      </c>
    </row>
  </sheetData>
  <mergeCells count="2">
    <mergeCell ref="G3:H3"/>
    <mergeCell ref="A1:H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BB250-76B4-49DF-992A-78A7FC7FF2D1}">
  <dimension ref="A1:I16"/>
  <sheetViews>
    <sheetView workbookViewId="0">
      <selection sqref="A1:D16"/>
    </sheetView>
  </sheetViews>
  <sheetFormatPr defaultRowHeight="15" x14ac:dyDescent="0.25"/>
  <cols>
    <col min="1" max="1" width="10.42578125" bestFit="1" customWidth="1"/>
    <col min="3" max="4" width="11.5703125" bestFit="1" customWidth="1"/>
    <col min="8" max="8" width="14.5703125" bestFit="1" customWidth="1"/>
    <col min="9" max="9" width="11.5703125" bestFit="1" customWidth="1"/>
  </cols>
  <sheetData>
    <row r="1" spans="1:9" ht="21" x14ac:dyDescent="0.35">
      <c r="A1" s="4" t="s">
        <v>0</v>
      </c>
      <c r="B1" s="5" t="s">
        <v>6</v>
      </c>
      <c r="C1" s="8" t="s">
        <v>7</v>
      </c>
      <c r="D1" s="18" t="s">
        <v>9</v>
      </c>
    </row>
    <row r="2" spans="1:9" ht="21" x14ac:dyDescent="0.35">
      <c r="A2" s="3" t="s">
        <v>1</v>
      </c>
      <c r="B2" s="2" t="s">
        <v>7</v>
      </c>
      <c r="C2" s="9">
        <v>106</v>
      </c>
      <c r="D2" s="17">
        <v>46356</v>
      </c>
    </row>
    <row r="3" spans="1:9" ht="21" x14ac:dyDescent="0.35">
      <c r="A3" s="3" t="s">
        <v>2</v>
      </c>
      <c r="B3" s="2" t="s">
        <v>5</v>
      </c>
      <c r="C3" s="9">
        <v>118</v>
      </c>
      <c r="D3" s="17">
        <v>45976</v>
      </c>
      <c r="H3" s="12" t="s">
        <v>8</v>
      </c>
      <c r="I3" s="13"/>
    </row>
    <row r="4" spans="1:9" ht="21" x14ac:dyDescent="0.35">
      <c r="A4" s="3" t="s">
        <v>3</v>
      </c>
      <c r="B4" s="2" t="s">
        <v>4</v>
      </c>
      <c r="C4" s="9">
        <v>110</v>
      </c>
      <c r="D4" s="17">
        <v>45596</v>
      </c>
      <c r="H4" s="11" t="s">
        <v>0</v>
      </c>
      <c r="I4" s="11" t="s">
        <v>1</v>
      </c>
    </row>
    <row r="5" spans="1:9" ht="21" x14ac:dyDescent="0.35">
      <c r="A5" s="3" t="s">
        <v>1</v>
      </c>
      <c r="B5" s="2" t="s">
        <v>5</v>
      </c>
      <c r="C5" s="9">
        <v>252</v>
      </c>
      <c r="D5" s="17">
        <v>45216</v>
      </c>
      <c r="H5" s="11" t="s">
        <v>6</v>
      </c>
      <c r="I5" s="11" t="s">
        <v>5</v>
      </c>
    </row>
    <row r="6" spans="1:9" ht="21" x14ac:dyDescent="0.35">
      <c r="A6" s="3" t="s">
        <v>2</v>
      </c>
      <c r="B6" s="2" t="s">
        <v>4</v>
      </c>
      <c r="C6" s="9">
        <v>106</v>
      </c>
      <c r="D6" s="17">
        <v>44836</v>
      </c>
      <c r="H6" s="11" t="s">
        <v>9</v>
      </c>
      <c r="I6" s="20">
        <v>45216</v>
      </c>
    </row>
    <row r="7" spans="1:9" ht="21" x14ac:dyDescent="0.35">
      <c r="A7" s="3" t="s">
        <v>3</v>
      </c>
      <c r="B7" s="2" t="s">
        <v>5</v>
      </c>
      <c r="C7" s="9">
        <v>118</v>
      </c>
      <c r="D7" s="17">
        <v>44456</v>
      </c>
      <c r="H7" s="11" t="s">
        <v>11</v>
      </c>
      <c r="I7" s="11">
        <f>AVERAGEIFS(Table13[Sales],Table13[Item],I4,Table13[Region],I5)</f>
        <v>185</v>
      </c>
    </row>
    <row r="8" spans="1:9" ht="21" x14ac:dyDescent="0.35">
      <c r="A8" s="3" t="s">
        <v>1</v>
      </c>
      <c r="B8" s="2" t="s">
        <v>4</v>
      </c>
      <c r="C8" s="9">
        <v>110</v>
      </c>
      <c r="D8" s="17">
        <v>44076</v>
      </c>
    </row>
    <row r="9" spans="1:9" ht="21" x14ac:dyDescent="0.35">
      <c r="A9" s="3" t="s">
        <v>2</v>
      </c>
      <c r="B9" s="2" t="s">
        <v>5</v>
      </c>
      <c r="C9" s="9">
        <v>252</v>
      </c>
      <c r="D9" s="17">
        <v>43696</v>
      </c>
    </row>
    <row r="10" spans="1:9" ht="21" x14ac:dyDescent="0.35">
      <c r="A10" s="3" t="s">
        <v>3</v>
      </c>
      <c r="B10" s="2" t="s">
        <v>4</v>
      </c>
      <c r="C10" s="9">
        <v>106</v>
      </c>
      <c r="D10" s="17">
        <v>43316</v>
      </c>
    </row>
    <row r="11" spans="1:9" ht="21" x14ac:dyDescent="0.35">
      <c r="A11" s="3" t="s">
        <v>1</v>
      </c>
      <c r="B11" s="2" t="s">
        <v>5</v>
      </c>
      <c r="C11" s="9">
        <v>118</v>
      </c>
      <c r="D11" s="17">
        <v>42936</v>
      </c>
    </row>
    <row r="12" spans="1:9" ht="21" x14ac:dyDescent="0.35">
      <c r="A12" s="3" t="s">
        <v>2</v>
      </c>
      <c r="B12" s="2" t="s">
        <v>4</v>
      </c>
      <c r="C12" s="9">
        <v>110</v>
      </c>
      <c r="D12" s="17">
        <v>42556</v>
      </c>
    </row>
    <row r="13" spans="1:9" ht="21" x14ac:dyDescent="0.35">
      <c r="A13" s="3" t="s">
        <v>3</v>
      </c>
      <c r="B13" s="2" t="s">
        <v>5</v>
      </c>
      <c r="C13" s="9">
        <v>252</v>
      </c>
      <c r="D13" s="17">
        <v>42176</v>
      </c>
    </row>
    <row r="14" spans="1:9" ht="21" x14ac:dyDescent="0.35">
      <c r="A14" s="3" t="s">
        <v>1</v>
      </c>
      <c r="B14" s="2" t="s">
        <v>4</v>
      </c>
      <c r="C14" s="9">
        <v>106</v>
      </c>
      <c r="D14" s="17">
        <v>41796</v>
      </c>
    </row>
    <row r="15" spans="1:9" ht="21" x14ac:dyDescent="0.35">
      <c r="A15" s="3" t="s">
        <v>2</v>
      </c>
      <c r="B15" s="2" t="s">
        <v>5</v>
      </c>
      <c r="C15" s="9">
        <v>118</v>
      </c>
      <c r="D15" s="17">
        <v>41416</v>
      </c>
    </row>
    <row r="16" spans="1:9" ht="21" x14ac:dyDescent="0.35">
      <c r="A16" s="6" t="s">
        <v>3</v>
      </c>
      <c r="B16" s="7" t="s">
        <v>4</v>
      </c>
      <c r="C16" s="10">
        <v>110</v>
      </c>
      <c r="D16" s="17">
        <v>41036</v>
      </c>
    </row>
  </sheetData>
  <mergeCells count="1">
    <mergeCell ref="H3:I3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6442A-B80A-4D0C-A545-F516279ED1CD}">
  <dimension ref="A1:H16"/>
  <sheetViews>
    <sheetView workbookViewId="0">
      <selection sqref="A1:D16"/>
    </sheetView>
  </sheetViews>
  <sheetFormatPr defaultRowHeight="15" x14ac:dyDescent="0.25"/>
  <cols>
    <col min="1" max="1" width="10.42578125" bestFit="1" customWidth="1"/>
    <col min="2" max="2" width="15.85546875" bestFit="1" customWidth="1"/>
    <col min="3" max="4" width="11.5703125" bestFit="1" customWidth="1"/>
    <col min="7" max="7" width="12.85546875" bestFit="1" customWidth="1"/>
    <col min="8" max="8" width="13" customWidth="1"/>
  </cols>
  <sheetData>
    <row r="1" spans="1:8" ht="21" x14ac:dyDescent="0.35">
      <c r="A1" s="4" t="s">
        <v>0</v>
      </c>
      <c r="B1" s="5" t="s">
        <v>6</v>
      </c>
      <c r="C1" s="8" t="s">
        <v>7</v>
      </c>
      <c r="D1" s="18" t="s">
        <v>9</v>
      </c>
    </row>
    <row r="2" spans="1:8" ht="21" x14ac:dyDescent="0.35">
      <c r="A2" s="3" t="s">
        <v>1</v>
      </c>
      <c r="B2" s="2" t="s">
        <v>14</v>
      </c>
      <c r="C2" s="9">
        <v>106</v>
      </c>
      <c r="D2" s="17">
        <v>46356</v>
      </c>
    </row>
    <row r="3" spans="1:8" ht="21" x14ac:dyDescent="0.35">
      <c r="A3" s="3" t="s">
        <v>2</v>
      </c>
      <c r="B3" s="2" t="s">
        <v>15</v>
      </c>
      <c r="C3" s="9">
        <v>118</v>
      </c>
      <c r="D3" s="17">
        <v>45976</v>
      </c>
      <c r="G3" s="21" t="s">
        <v>8</v>
      </c>
      <c r="H3" s="22"/>
    </row>
    <row r="4" spans="1:8" ht="21" x14ac:dyDescent="0.35">
      <c r="A4" s="3" t="s">
        <v>3</v>
      </c>
      <c r="B4" s="2" t="s">
        <v>4</v>
      </c>
      <c r="C4" s="9">
        <v>110</v>
      </c>
      <c r="D4" s="17">
        <v>45596</v>
      </c>
      <c r="G4" s="15" t="s">
        <v>0</v>
      </c>
      <c r="H4" s="15" t="s">
        <v>3</v>
      </c>
    </row>
    <row r="5" spans="1:8" ht="21" x14ac:dyDescent="0.35">
      <c r="A5" s="3" t="s">
        <v>1</v>
      </c>
      <c r="B5" s="2" t="s">
        <v>5</v>
      </c>
      <c r="C5" s="9">
        <v>252</v>
      </c>
      <c r="D5" s="17">
        <v>45216</v>
      </c>
      <c r="G5" s="15" t="s">
        <v>6</v>
      </c>
      <c r="H5" s="15" t="s">
        <v>5</v>
      </c>
    </row>
    <row r="6" spans="1:8" ht="21" x14ac:dyDescent="0.35">
      <c r="A6" s="3" t="s">
        <v>2</v>
      </c>
      <c r="B6" s="2" t="s">
        <v>4</v>
      </c>
      <c r="C6" s="9">
        <v>106</v>
      </c>
      <c r="D6" s="17">
        <v>44836</v>
      </c>
      <c r="G6" s="14" t="s">
        <v>11</v>
      </c>
      <c r="H6" s="15">
        <f>AVERAGEIFS(Table135[Sales],Table135[Item],H4,Table135[Region],H5&amp;"*")</f>
        <v>185</v>
      </c>
    </row>
    <row r="7" spans="1:8" ht="21" x14ac:dyDescent="0.35">
      <c r="A7" s="3" t="s">
        <v>3</v>
      </c>
      <c r="B7" s="2" t="s">
        <v>5</v>
      </c>
      <c r="C7" s="9">
        <v>118</v>
      </c>
      <c r="D7" s="17">
        <v>44456</v>
      </c>
    </row>
    <row r="8" spans="1:8" ht="21" x14ac:dyDescent="0.35">
      <c r="A8" s="3" t="s">
        <v>1</v>
      </c>
      <c r="B8" s="2" t="s">
        <v>4</v>
      </c>
      <c r="C8" s="9">
        <v>110</v>
      </c>
      <c r="D8" s="17">
        <v>44076</v>
      </c>
    </row>
    <row r="9" spans="1:8" ht="21" x14ac:dyDescent="0.35">
      <c r="A9" s="3" t="s">
        <v>2</v>
      </c>
      <c r="B9" s="2" t="s">
        <v>14</v>
      </c>
      <c r="C9" s="9">
        <v>252</v>
      </c>
      <c r="D9" s="17">
        <v>43696</v>
      </c>
    </row>
    <row r="10" spans="1:8" ht="21" x14ac:dyDescent="0.35">
      <c r="A10" s="3" t="s">
        <v>3</v>
      </c>
      <c r="B10" s="2" t="s">
        <v>4</v>
      </c>
      <c r="C10" s="9">
        <v>106</v>
      </c>
      <c r="D10" s="17">
        <v>43316</v>
      </c>
    </row>
    <row r="11" spans="1:8" ht="21" x14ac:dyDescent="0.35">
      <c r="A11" s="3" t="s">
        <v>1</v>
      </c>
      <c r="B11" s="2" t="s">
        <v>5</v>
      </c>
      <c r="C11" s="9">
        <v>118</v>
      </c>
      <c r="D11" s="17">
        <v>42936</v>
      </c>
    </row>
    <row r="12" spans="1:8" ht="21" x14ac:dyDescent="0.35">
      <c r="A12" s="3" t="s">
        <v>2</v>
      </c>
      <c r="B12" s="2" t="s">
        <v>16</v>
      </c>
      <c r="C12" s="9">
        <v>110</v>
      </c>
      <c r="D12" s="17">
        <v>42556</v>
      </c>
    </row>
    <row r="13" spans="1:8" ht="21" x14ac:dyDescent="0.35">
      <c r="A13" s="3" t="s">
        <v>3</v>
      </c>
      <c r="B13" s="2" t="s">
        <v>5</v>
      </c>
      <c r="C13" s="9">
        <v>252</v>
      </c>
      <c r="D13" s="17">
        <v>42176</v>
      </c>
    </row>
    <row r="14" spans="1:8" ht="21" x14ac:dyDescent="0.35">
      <c r="A14" s="3" t="s">
        <v>1</v>
      </c>
      <c r="B14" s="2" t="s">
        <v>4</v>
      </c>
      <c r="C14" s="9">
        <v>106</v>
      </c>
      <c r="D14" s="17">
        <v>41796</v>
      </c>
    </row>
    <row r="15" spans="1:8" ht="21" x14ac:dyDescent="0.35">
      <c r="A15" s="3" t="s">
        <v>2</v>
      </c>
      <c r="B15" s="2" t="s">
        <v>5</v>
      </c>
      <c r="C15" s="9">
        <v>118</v>
      </c>
      <c r="D15" s="17">
        <v>41416</v>
      </c>
    </row>
    <row r="16" spans="1:8" ht="21" x14ac:dyDescent="0.35">
      <c r="A16" s="6" t="s">
        <v>3</v>
      </c>
      <c r="B16" s="7" t="s">
        <v>4</v>
      </c>
      <c r="C16" s="10">
        <v>110</v>
      </c>
      <c r="D16" s="17">
        <v>41036</v>
      </c>
    </row>
  </sheetData>
  <mergeCells count="1">
    <mergeCell ref="G3:H3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225F2-6226-4F0C-A1CF-9E27A7C294F0}">
  <dimension ref="A1:L16"/>
  <sheetViews>
    <sheetView workbookViewId="0">
      <selection activeCell="G5" sqref="G5"/>
    </sheetView>
  </sheetViews>
  <sheetFormatPr defaultRowHeight="15" x14ac:dyDescent="0.25"/>
  <cols>
    <col min="1" max="1" width="10.42578125" bestFit="1" customWidth="1"/>
    <col min="2" max="2" width="15.85546875" bestFit="1" customWidth="1"/>
    <col min="3" max="4" width="11.5703125" bestFit="1" customWidth="1"/>
    <col min="7" max="7" width="13.85546875" bestFit="1" customWidth="1"/>
    <col min="8" max="8" width="16.28515625" customWidth="1"/>
    <col min="11" max="11" width="12.85546875" bestFit="1" customWidth="1"/>
    <col min="12" max="12" width="10.28515625" bestFit="1" customWidth="1"/>
  </cols>
  <sheetData>
    <row r="1" spans="1:12" ht="21" x14ac:dyDescent="0.35">
      <c r="A1" s="4" t="s">
        <v>0</v>
      </c>
      <c r="B1" s="5" t="s">
        <v>6</v>
      </c>
      <c r="C1" s="8" t="s">
        <v>7</v>
      </c>
      <c r="D1" s="18" t="s">
        <v>9</v>
      </c>
    </row>
    <row r="2" spans="1:12" ht="21" x14ac:dyDescent="0.35">
      <c r="A2" s="3" t="s">
        <v>1</v>
      </c>
      <c r="B2" s="2" t="s">
        <v>14</v>
      </c>
      <c r="C2" s="9">
        <v>106</v>
      </c>
      <c r="D2" s="17">
        <v>46356</v>
      </c>
    </row>
    <row r="3" spans="1:12" ht="21" x14ac:dyDescent="0.35">
      <c r="A3" s="3" t="s">
        <v>2</v>
      </c>
      <c r="B3" s="2" t="s">
        <v>15</v>
      </c>
      <c r="C3" s="9">
        <v>118</v>
      </c>
      <c r="D3" s="17">
        <v>45976</v>
      </c>
      <c r="F3" s="26"/>
      <c r="G3" s="25" t="s">
        <v>17</v>
      </c>
      <c r="H3" s="25"/>
      <c r="K3" s="23" t="s">
        <v>18</v>
      </c>
      <c r="L3" s="24"/>
    </row>
    <row r="4" spans="1:12" ht="21" x14ac:dyDescent="0.35">
      <c r="A4" s="3" t="s">
        <v>3</v>
      </c>
      <c r="B4" s="2" t="s">
        <v>4</v>
      </c>
      <c r="C4" s="9">
        <v>110</v>
      </c>
      <c r="D4" s="17">
        <v>45596</v>
      </c>
      <c r="G4" s="14">
        <v>100</v>
      </c>
      <c r="H4" s="14">
        <v>130</v>
      </c>
      <c r="K4" s="20">
        <v>44836</v>
      </c>
      <c r="L4" s="20">
        <v>45976</v>
      </c>
    </row>
    <row r="5" spans="1:12" ht="21" x14ac:dyDescent="0.35">
      <c r="A5" s="3" t="s">
        <v>1</v>
      </c>
      <c r="B5" s="2" t="s">
        <v>5</v>
      </c>
      <c r="C5" s="9">
        <v>252</v>
      </c>
      <c r="D5" s="17">
        <v>45216</v>
      </c>
      <c r="G5" s="14" t="s">
        <v>19</v>
      </c>
      <c r="H5" s="14">
        <f>AVERAGEIFS(C2:C16,C2:C16,"&gt;="&amp;G4,C2:C16,"&lt;="&amp;H4)</f>
        <v>111.33333333333333</v>
      </c>
      <c r="K5" s="14" t="s">
        <v>11</v>
      </c>
      <c r="L5" s="14">
        <f>AVERAGEIFS(C2:C16,D2:D16,"&gt;="&amp;K4,D2:D16,"&lt;="&amp;L4)</f>
        <v>146.5</v>
      </c>
    </row>
    <row r="6" spans="1:12" ht="21" x14ac:dyDescent="0.35">
      <c r="A6" s="3" t="s">
        <v>2</v>
      </c>
      <c r="B6" s="2" t="s">
        <v>4</v>
      </c>
      <c r="C6" s="9">
        <v>106</v>
      </c>
      <c r="D6" s="17">
        <v>44836</v>
      </c>
    </row>
    <row r="7" spans="1:12" ht="21" x14ac:dyDescent="0.35">
      <c r="A7" s="3" t="s">
        <v>3</v>
      </c>
      <c r="B7" s="2" t="s">
        <v>5</v>
      </c>
      <c r="C7" s="9">
        <v>118</v>
      </c>
      <c r="D7" s="17">
        <v>44456</v>
      </c>
    </row>
    <row r="8" spans="1:12" ht="21" x14ac:dyDescent="0.35">
      <c r="A8" s="3" t="s">
        <v>1</v>
      </c>
      <c r="B8" s="2" t="s">
        <v>4</v>
      </c>
      <c r="C8" s="9">
        <v>110</v>
      </c>
      <c r="D8" s="17">
        <v>44076</v>
      </c>
    </row>
    <row r="9" spans="1:12" ht="21" x14ac:dyDescent="0.35">
      <c r="A9" s="3" t="s">
        <v>2</v>
      </c>
      <c r="B9" s="2" t="s">
        <v>14</v>
      </c>
      <c r="C9" s="9">
        <v>252</v>
      </c>
      <c r="D9" s="17">
        <v>43696</v>
      </c>
    </row>
    <row r="10" spans="1:12" ht="21" x14ac:dyDescent="0.35">
      <c r="A10" s="3" t="s">
        <v>3</v>
      </c>
      <c r="B10" s="2" t="s">
        <v>4</v>
      </c>
      <c r="C10" s="9">
        <v>106</v>
      </c>
      <c r="D10" s="17">
        <v>43316</v>
      </c>
    </row>
    <row r="11" spans="1:12" ht="21" x14ac:dyDescent="0.35">
      <c r="A11" s="3" t="s">
        <v>1</v>
      </c>
      <c r="B11" s="2" t="s">
        <v>5</v>
      </c>
      <c r="C11" s="9">
        <v>118</v>
      </c>
      <c r="D11" s="17">
        <v>42936</v>
      </c>
    </row>
    <row r="12" spans="1:12" ht="21" x14ac:dyDescent="0.35">
      <c r="A12" s="3" t="s">
        <v>2</v>
      </c>
      <c r="B12" s="2" t="s">
        <v>16</v>
      </c>
      <c r="C12" s="9">
        <v>110</v>
      </c>
      <c r="D12" s="17">
        <v>42556</v>
      </c>
    </row>
    <row r="13" spans="1:12" ht="21" x14ac:dyDescent="0.35">
      <c r="A13" s="3" t="s">
        <v>3</v>
      </c>
      <c r="B13" s="2" t="s">
        <v>5</v>
      </c>
      <c r="C13" s="9">
        <v>252</v>
      </c>
      <c r="D13" s="17">
        <v>42176</v>
      </c>
    </row>
    <row r="14" spans="1:12" ht="21" x14ac:dyDescent="0.35">
      <c r="A14" s="3" t="s">
        <v>1</v>
      </c>
      <c r="B14" s="2" t="s">
        <v>4</v>
      </c>
      <c r="C14" s="9">
        <v>106</v>
      </c>
      <c r="D14" s="17">
        <v>41796</v>
      </c>
    </row>
    <row r="15" spans="1:12" ht="21" x14ac:dyDescent="0.35">
      <c r="A15" s="3" t="s">
        <v>2</v>
      </c>
      <c r="B15" s="2" t="s">
        <v>5</v>
      </c>
      <c r="C15" s="9">
        <v>118</v>
      </c>
      <c r="D15" s="17">
        <v>41416</v>
      </c>
    </row>
    <row r="16" spans="1:12" ht="21" x14ac:dyDescent="0.35">
      <c r="A16" s="6" t="s">
        <v>3</v>
      </c>
      <c r="B16" s="7" t="s">
        <v>4</v>
      </c>
      <c r="C16" s="10">
        <v>110</v>
      </c>
      <c r="D16" s="17">
        <v>41036</v>
      </c>
    </row>
  </sheetData>
  <mergeCells count="2">
    <mergeCell ref="K3:L3"/>
    <mergeCell ref="G3:H3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EF4F3-98AF-4E57-9E27-B6C83C7E6D54}">
  <dimension ref="A1:H16"/>
  <sheetViews>
    <sheetView tabSelected="1" workbookViewId="0">
      <selection activeCell="H12" sqref="H12"/>
    </sheetView>
  </sheetViews>
  <sheetFormatPr defaultRowHeight="15" x14ac:dyDescent="0.25"/>
  <cols>
    <col min="2" max="3" width="11.5703125" bestFit="1" customWidth="1"/>
    <col min="7" max="7" width="24" bestFit="1" customWidth="1"/>
    <col min="8" max="8" width="11.5703125" bestFit="1" customWidth="1"/>
  </cols>
  <sheetData>
    <row r="1" spans="1:8" ht="21" x14ac:dyDescent="0.35">
      <c r="A1" s="4" t="s">
        <v>0</v>
      </c>
      <c r="B1" s="18" t="s">
        <v>9</v>
      </c>
      <c r="C1" s="8" t="s">
        <v>7</v>
      </c>
    </row>
    <row r="2" spans="1:8" ht="21" x14ac:dyDescent="0.35">
      <c r="A2" s="3" t="s">
        <v>1</v>
      </c>
      <c r="B2" s="17">
        <v>46356</v>
      </c>
      <c r="C2" s="9">
        <v>106</v>
      </c>
    </row>
    <row r="3" spans="1:8" ht="21" x14ac:dyDescent="0.35">
      <c r="A3" s="3" t="s">
        <v>2</v>
      </c>
      <c r="B3" s="17">
        <v>45976</v>
      </c>
      <c r="C3" s="9">
        <v>118</v>
      </c>
      <c r="G3" s="12" t="s">
        <v>8</v>
      </c>
      <c r="H3" s="13"/>
    </row>
    <row r="4" spans="1:8" ht="21" x14ac:dyDescent="0.35">
      <c r="A4" s="3" t="s">
        <v>3</v>
      </c>
      <c r="B4" s="17">
        <v>45596</v>
      </c>
      <c r="C4" s="9">
        <v>110</v>
      </c>
      <c r="G4" s="11" t="s">
        <v>13</v>
      </c>
      <c r="H4" s="11">
        <v>0</v>
      </c>
    </row>
    <row r="5" spans="1:8" ht="21" x14ac:dyDescent="0.35">
      <c r="A5" s="3" t="s">
        <v>1</v>
      </c>
      <c r="B5" s="17">
        <v>45216</v>
      </c>
      <c r="C5" s="9">
        <v>252</v>
      </c>
      <c r="G5" s="11" t="s">
        <v>12</v>
      </c>
      <c r="H5" s="20">
        <v>45216</v>
      </c>
    </row>
    <row r="6" spans="1:8" ht="21" x14ac:dyDescent="0.35">
      <c r="A6" s="3" t="s">
        <v>2</v>
      </c>
      <c r="B6" s="17">
        <v>44836</v>
      </c>
      <c r="C6" s="9">
        <v>106</v>
      </c>
      <c r="G6" s="11" t="s">
        <v>11</v>
      </c>
      <c r="H6" s="11">
        <f>AVERAGEIFS(Table134[Sales],Table134[Delivery],"&lt;"&amp;H5,Table134[Sales],"&gt;"&amp;H4)</f>
        <v>136.90909090909091</v>
      </c>
    </row>
    <row r="7" spans="1:8" ht="21" x14ac:dyDescent="0.35">
      <c r="A7" s="3" t="s">
        <v>3</v>
      </c>
      <c r="B7" s="17">
        <v>44456</v>
      </c>
      <c r="C7" s="9">
        <v>118</v>
      </c>
    </row>
    <row r="8" spans="1:8" ht="21" x14ac:dyDescent="0.35">
      <c r="A8" s="3" t="s">
        <v>1</v>
      </c>
      <c r="B8" s="17">
        <v>44076</v>
      </c>
      <c r="C8" s="9">
        <v>110</v>
      </c>
    </row>
    <row r="9" spans="1:8" ht="21" x14ac:dyDescent="0.35">
      <c r="A9" s="3" t="s">
        <v>2</v>
      </c>
      <c r="B9" s="17">
        <v>43696</v>
      </c>
      <c r="C9" s="9">
        <v>252</v>
      </c>
    </row>
    <row r="10" spans="1:8" ht="21" x14ac:dyDescent="0.35">
      <c r="A10" s="3" t="s">
        <v>3</v>
      </c>
      <c r="B10" s="17">
        <v>43316</v>
      </c>
      <c r="C10" s="9">
        <v>106</v>
      </c>
    </row>
    <row r="11" spans="1:8" ht="21" x14ac:dyDescent="0.35">
      <c r="A11" s="3" t="s">
        <v>1</v>
      </c>
      <c r="B11" s="17">
        <v>42936</v>
      </c>
      <c r="C11" s="9">
        <v>118</v>
      </c>
    </row>
    <row r="12" spans="1:8" ht="21" x14ac:dyDescent="0.35">
      <c r="A12" s="3" t="s">
        <v>2</v>
      </c>
      <c r="B12" s="17">
        <v>42556</v>
      </c>
      <c r="C12" s="9">
        <v>110</v>
      </c>
    </row>
    <row r="13" spans="1:8" ht="21" x14ac:dyDescent="0.35">
      <c r="A13" s="3" t="s">
        <v>3</v>
      </c>
      <c r="B13" s="17">
        <v>42176</v>
      </c>
      <c r="C13" s="9">
        <v>252</v>
      </c>
    </row>
    <row r="14" spans="1:8" ht="21" x14ac:dyDescent="0.35">
      <c r="A14" s="3" t="s">
        <v>1</v>
      </c>
      <c r="B14" s="17">
        <v>41796</v>
      </c>
      <c r="C14" s="9">
        <v>106</v>
      </c>
    </row>
    <row r="15" spans="1:8" ht="21" x14ac:dyDescent="0.35">
      <c r="A15" s="3" t="s">
        <v>2</v>
      </c>
      <c r="B15" s="17">
        <v>41416</v>
      </c>
      <c r="C15" s="9">
        <v>118</v>
      </c>
    </row>
    <row r="16" spans="1:8" ht="21" x14ac:dyDescent="0.35">
      <c r="A16" s="6" t="s">
        <v>3</v>
      </c>
      <c r="B16" s="17">
        <v>41036</v>
      </c>
      <c r="C16" s="10">
        <v>110</v>
      </c>
    </row>
  </sheetData>
  <mergeCells count="1">
    <mergeCell ref="G3:H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AverafeIFS Function</vt:lpstr>
      <vt:lpstr>Averageifs With Text</vt:lpstr>
      <vt:lpstr>AverageIFS wildcards</vt:lpstr>
      <vt:lpstr>AverageIFS If Between</vt:lpstr>
      <vt:lpstr>AverageIFS logical Operations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2026-04-21T08:02:10Z</dcterms:created>
  <dcterms:modified xsi:type="dcterms:W3CDTF">2026-04-21T09:09:54Z</dcterms:modified>
</cp:coreProperties>
</file>