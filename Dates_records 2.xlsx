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8_{07F71FF5-058F-4D1E-A600-FB6E184DF52A}" xr6:coauthVersionLast="47" xr6:coauthVersionMax="47" xr10:uidLastSave="{00000000-0000-0000-0000-000000000000}"/>
  <bookViews>
    <workbookView xWindow="0" yWindow="0" windowWidth="20490" windowHeight="7545" firstSheet="1" xr2:uid="{F0C589F6-98DF-4EEE-AF67-EAE69A774086}"/>
  </bookViews>
  <sheets>
    <sheet name="Project_Deadline" sheetId="1" r:id="rId1"/>
    <sheet name="Leave_records" sheetId="3" r:id="rId2"/>
    <sheet name="Financial_Details" sheetId="4" r:id="rId3"/>
    <sheet name="Epmloye_data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1" i="1"/>
  <c r="E12" i="1"/>
  <c r="E10" i="1"/>
  <c r="E3" i="2"/>
  <c r="E4" i="2"/>
  <c r="E5" i="2"/>
  <c r="E6" i="2"/>
  <c r="E2" i="2"/>
  <c r="B3" i="3"/>
  <c r="C12" i="1"/>
  <c r="C10" i="1"/>
  <c r="C11" i="1"/>
  <c r="C13" i="1"/>
  <c r="C9" i="1"/>
  <c r="C2" i="1"/>
  <c r="C3" i="1"/>
  <c r="C4" i="1"/>
  <c r="C5" i="1"/>
  <c r="C6" i="1"/>
  <c r="E3" i="1"/>
  <c r="E4" i="1"/>
  <c r="F4" i="1" s="1"/>
  <c r="E5" i="1"/>
  <c r="F5" i="1" s="1"/>
  <c r="E6" i="1"/>
  <c r="F6" i="1" s="1"/>
  <c r="E2" i="1"/>
  <c r="F3" i="1" l="1"/>
  <c r="F2" i="1"/>
</calcChain>
</file>

<file path=xl/sharedStrings.xml><?xml version="1.0" encoding="utf-8"?>
<sst xmlns="http://schemas.openxmlformats.org/spreadsheetml/2006/main" count="62" uniqueCount="56">
  <si>
    <t>Project ID</t>
  </si>
  <si>
    <t>Start Date</t>
  </si>
  <si>
    <t>Date formate</t>
  </si>
  <si>
    <t>End Date</t>
  </si>
  <si>
    <t>Days Remaining</t>
  </si>
  <si>
    <t>P101</t>
  </si>
  <si>
    <t>2024-01-01</t>
  </si>
  <si>
    <t>2024-03-31</t>
  </si>
  <si>
    <t>P102</t>
  </si>
  <si>
    <t>2024-02-15</t>
  </si>
  <si>
    <t>2024-05-30</t>
  </si>
  <si>
    <t>P103</t>
  </si>
  <si>
    <t>2024-03-01</t>
  </si>
  <si>
    <t>P104</t>
  </si>
  <si>
    <t>2024-04-10</t>
  </si>
  <si>
    <t>2024-07-25</t>
  </si>
  <si>
    <t>P105</t>
  </si>
  <si>
    <t>2024-05-05</t>
  </si>
  <si>
    <t>2024-08-10</t>
  </si>
  <si>
    <t>EndsOf Months</t>
  </si>
  <si>
    <t>Work Days</t>
  </si>
  <si>
    <t>Holidays</t>
  </si>
  <si>
    <t>Quarter Start Date</t>
  </si>
  <si>
    <t>Quarter End Date</t>
  </si>
  <si>
    <t>Current Date</t>
  </si>
  <si>
    <t>Days Left in Quarter</t>
  </si>
  <si>
    <t>2024-12-20</t>
  </si>
  <si>
    <t>2024-04-01</t>
  </si>
  <si>
    <t>2024-06-30</t>
  </si>
  <si>
    <t>2024-07-01</t>
  </si>
  <si>
    <t>2024-09-30</t>
  </si>
  <si>
    <t>2024-10-01</t>
  </si>
  <si>
    <t>2024-12-31</t>
  </si>
  <si>
    <t>Employee ID</t>
  </si>
  <si>
    <t>Employee Name</t>
  </si>
  <si>
    <t>Date of Joining</t>
  </si>
  <si>
    <t>Date of Birth</t>
  </si>
  <si>
    <t>Age</t>
  </si>
  <si>
    <t>John Doe</t>
  </si>
  <si>
    <t>2020-01-15</t>
  </si>
  <si>
    <t>1990-07-12</t>
  </si>
  <si>
    <t>Jane Smith</t>
  </si>
  <si>
    <t>2019-06-01</t>
  </si>
  <si>
    <t>1985-11-23</t>
  </si>
  <si>
    <t>Robert Brown</t>
  </si>
  <si>
    <t>2021-09-20</t>
  </si>
  <si>
    <t>1992-05-14</t>
  </si>
  <si>
    <t>Emily Davis</t>
  </si>
  <si>
    <t>2020-11-05</t>
  </si>
  <si>
    <t>1995-09-30</t>
  </si>
  <si>
    <t>Michael Johnson</t>
  </si>
  <si>
    <t>2018-03-22</t>
  </si>
  <si>
    <t>1988-02-18</t>
  </si>
  <si>
    <t>Monday-December-2024</t>
  </si>
  <si>
    <t xml:space="preserve">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</si>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</sst>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  <xf numFmtId="0" fontId="2" fillId="0" borderId="0" xfId="0" applyNumberFormat="1" applyFont="1"/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2" fillId="0" borderId="0" xfId="0" applyNumberFormat="1" applyFont="1" applyAlignment="1">
      <alignment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30EE1-9A28-443C-9E38-87E286754CC3}" name="Table1" displayName="Table1" ref="A1:E6" totalsRowShown="0" headerRowDxfId="6" dataDxfId="5">
  <autoFilter ref="A1:E6" xr:uid="{A2930EE1-9A28-443C-9E38-87E286754CC3}"/>
  <tableColumns count="5">
    <tableColumn id="1" xr3:uid="{9D15CFAC-F013-4560-9AD5-2EA9270CB0AB}" name="Employee ID" dataDxfId="4"/>
    <tableColumn id="2" xr3:uid="{ADFB9A53-CDB3-4381-8E38-70B6302C2E49}" name="Employee Name" dataDxfId="3"/>
    <tableColumn id="3" xr3:uid="{9A4379CD-7F3B-4BB4-AA12-7164302D3216}" name="Date of Joining" dataDxfId="2"/>
    <tableColumn id="4" xr3:uid="{AC171716-D1EA-4951-9995-5C67122C0494}" name="Date of Birth" dataDxfId="1"/>
    <tableColumn id="5" xr3:uid="{23D7009A-E1B5-4FD8-A762-F1F3F5E5438D}" name="Age" dataDxfId="0">
      <calculatedColumnFormula>DATEDIF(D2,TODAY(),"Y")&amp;" Years "&amp;DATEDIF(D2,TODAY(),"M")&amp;" Months "&amp;DATEDIF(D2,TODAY(),"D")&amp;" Days "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A9EE-45DD-4E51-AF2E-EE2E26D75C5E}">
  <dimension ref="A1:I13"/>
  <sheetViews>
    <sheetView tabSelected="1" topLeftCell="A4" workbookViewId="0">
      <selection activeCell="E12" sqref="E12:E13"/>
    </sheetView>
  </sheetViews>
  <sheetFormatPr defaultRowHeight="15"/>
  <cols>
    <col min="1" max="1" width="13.5703125" bestFit="1" customWidth="1"/>
    <col min="2" max="2" width="15.7109375" bestFit="1" customWidth="1"/>
    <col min="3" max="3" width="18.140625" bestFit="1" customWidth="1"/>
    <col min="4" max="4" width="15.7109375" bestFit="1" customWidth="1"/>
    <col min="5" max="5" width="20" bestFit="1" customWidth="1"/>
    <col min="6" max="6" width="21.28515625" bestFit="1" customWidth="1"/>
  </cols>
  <sheetData>
    <row r="1" spans="1:9" ht="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</row>
    <row r="2" spans="1:9" ht="21">
      <c r="A2" s="2" t="s">
        <v>5</v>
      </c>
      <c r="B2" s="3" t="s">
        <v>6</v>
      </c>
      <c r="C2" s="3">
        <f>DATE(YEAR(B2),MONTH(B2),DAY(B2))</f>
        <v>45292</v>
      </c>
      <c r="D2" s="2" t="s">
        <v>7</v>
      </c>
      <c r="E2" s="3">
        <f>DATE(YEAR(D2),MONTH(D2),DAY(D2))</f>
        <v>45382</v>
      </c>
      <c r="F2" s="4">
        <f>E2-C2</f>
        <v>90</v>
      </c>
      <c r="G2" s="3"/>
      <c r="H2" s="2"/>
      <c r="I2" s="2"/>
    </row>
    <row r="3" spans="1:9" ht="21">
      <c r="A3" s="2" t="s">
        <v>8</v>
      </c>
      <c r="B3" s="3" t="s">
        <v>9</v>
      </c>
      <c r="C3" s="3">
        <f t="shared" ref="C3:C6" si="0">DATE(YEAR(B3),MONTH(B3),DAY(B3))</f>
        <v>45337</v>
      </c>
      <c r="D3" s="2" t="s">
        <v>10</v>
      </c>
      <c r="E3" s="3">
        <f t="shared" ref="E3:E6" si="1">DATE(YEAR(D3),MONTH(D3),DAY(D3))</f>
        <v>45442</v>
      </c>
      <c r="F3" s="4">
        <f t="shared" ref="F3:F6" si="2">E3-C3</f>
        <v>105</v>
      </c>
      <c r="G3" s="2"/>
      <c r="H3" s="2"/>
      <c r="I3" s="2"/>
    </row>
    <row r="4" spans="1:9" ht="21">
      <c r="A4" s="2" t="s">
        <v>11</v>
      </c>
      <c r="B4" s="3" t="s">
        <v>12</v>
      </c>
      <c r="C4" s="3">
        <f t="shared" si="0"/>
        <v>45352</v>
      </c>
      <c r="D4" s="3">
        <v>45458</v>
      </c>
      <c r="E4" s="3">
        <f t="shared" si="1"/>
        <v>45458</v>
      </c>
      <c r="F4" s="4">
        <f t="shared" si="2"/>
        <v>106</v>
      </c>
      <c r="G4" s="2"/>
      <c r="H4" s="2"/>
      <c r="I4" s="2"/>
    </row>
    <row r="5" spans="1:9" ht="21">
      <c r="A5" s="2" t="s">
        <v>13</v>
      </c>
      <c r="B5" s="3" t="s">
        <v>14</v>
      </c>
      <c r="C5" s="3">
        <f t="shared" si="0"/>
        <v>45392</v>
      </c>
      <c r="D5" s="2" t="s">
        <v>15</v>
      </c>
      <c r="E5" s="3">
        <f t="shared" si="1"/>
        <v>45498</v>
      </c>
      <c r="F5" s="4">
        <f t="shared" si="2"/>
        <v>106</v>
      </c>
      <c r="G5" s="2"/>
      <c r="H5" s="2"/>
      <c r="I5" s="2"/>
    </row>
    <row r="6" spans="1:9" ht="21">
      <c r="A6" s="2" t="s">
        <v>16</v>
      </c>
      <c r="B6" s="3" t="s">
        <v>17</v>
      </c>
      <c r="C6" s="3">
        <f t="shared" si="0"/>
        <v>45417</v>
      </c>
      <c r="D6" s="2" t="s">
        <v>18</v>
      </c>
      <c r="E6" s="3">
        <f t="shared" si="1"/>
        <v>45514</v>
      </c>
      <c r="F6" s="4">
        <f t="shared" si="2"/>
        <v>97</v>
      </c>
      <c r="G6" s="2"/>
      <c r="H6" s="2"/>
      <c r="I6" s="3"/>
    </row>
    <row r="7" spans="1:9" ht="21">
      <c r="A7" s="2"/>
      <c r="B7" s="2"/>
      <c r="C7" s="2"/>
      <c r="D7" s="2"/>
      <c r="E7" s="2"/>
      <c r="F7" s="2"/>
      <c r="G7" s="2"/>
      <c r="H7" s="2"/>
      <c r="I7" s="2"/>
    </row>
    <row r="8" spans="1:9" ht="21">
      <c r="A8" s="2"/>
      <c r="B8" s="2"/>
      <c r="C8" s="2"/>
      <c r="D8" s="2"/>
      <c r="E8" s="2"/>
      <c r="F8" s="2"/>
      <c r="G8" s="2"/>
      <c r="H8" s="2"/>
      <c r="I8" s="2"/>
    </row>
    <row r="9" spans="1:9" ht="21">
      <c r="A9" s="2"/>
      <c r="B9" s="3">
        <v>45292</v>
      </c>
      <c r="C9" s="3" t="str">
        <f>TEXT(B9,"DD-MMM-YYYY")</f>
        <v>01-Jan-2024</v>
      </c>
      <c r="D9" s="3"/>
      <c r="E9" s="2" t="s">
        <v>19</v>
      </c>
      <c r="F9" s="2"/>
      <c r="G9" s="2"/>
      <c r="H9" s="2"/>
      <c r="I9" s="2"/>
    </row>
    <row r="10" spans="1:9" ht="21">
      <c r="A10" s="2"/>
      <c r="B10" s="3">
        <v>45337</v>
      </c>
      <c r="C10" s="3" t="str">
        <f t="shared" ref="C10:C13" si="3">TEXT(B10,"DD-MMM-YYYY")</f>
        <v>15-Feb-2024</v>
      </c>
      <c r="D10" s="2"/>
      <c r="E10" s="3">
        <f>EOMONTH(B9,5)</f>
        <v>45473</v>
      </c>
      <c r="F10" s="2"/>
      <c r="G10" s="2"/>
      <c r="H10" s="2"/>
      <c r="I10" s="2"/>
    </row>
    <row r="11" spans="1:9" ht="21">
      <c r="A11" s="2"/>
      <c r="B11" s="3">
        <v>45352</v>
      </c>
      <c r="C11" s="3" t="str">
        <f t="shared" si="3"/>
        <v>01-Mar-2024</v>
      </c>
      <c r="D11" s="2"/>
      <c r="E11" s="3">
        <f t="shared" ref="E11:E13" si="4">EOMONTH(B10,5)</f>
        <v>45504</v>
      </c>
      <c r="F11" s="2"/>
      <c r="G11" s="2"/>
      <c r="H11" s="2"/>
      <c r="I11" s="2"/>
    </row>
    <row r="12" spans="1:9" ht="21">
      <c r="A12" s="2"/>
      <c r="B12" s="3">
        <v>45392</v>
      </c>
      <c r="C12" s="3" t="str">
        <f>TEXT(B12,"DD-MMM-YYYY")</f>
        <v>10-Apr-2024</v>
      </c>
      <c r="D12" s="2"/>
      <c r="E12" s="3">
        <f t="shared" si="4"/>
        <v>45535</v>
      </c>
      <c r="F12" s="2"/>
      <c r="G12" s="2"/>
      <c r="H12" s="2"/>
      <c r="I12" s="2"/>
    </row>
    <row r="13" spans="1:9" ht="21">
      <c r="A13" s="2"/>
      <c r="B13" s="3">
        <v>45417</v>
      </c>
      <c r="C13" s="3" t="str">
        <f t="shared" si="3"/>
        <v>05-May-2024</v>
      </c>
      <c r="D13" s="2"/>
      <c r="E13" s="3">
        <f t="shared" si="4"/>
        <v>45565</v>
      </c>
      <c r="F13" s="2"/>
      <c r="G13" s="2"/>
      <c r="H13" s="2"/>
      <c r="I1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BD19-BF4A-47D1-BEEE-FA5530709E24}">
  <dimension ref="A1:E34"/>
  <sheetViews>
    <sheetView workbookViewId="0">
      <selection activeCell="B3" sqref="B3"/>
    </sheetView>
  </sheetViews>
  <sheetFormatPr defaultRowHeight="15"/>
  <cols>
    <col min="1" max="1" width="16.28515625" bestFit="1" customWidth="1"/>
    <col min="2" max="2" width="14.7109375" style="6" bestFit="1" customWidth="1"/>
    <col min="5" max="5" width="16.28515625" bestFit="1" customWidth="1"/>
  </cols>
  <sheetData>
    <row r="1" spans="1:5" ht="21">
      <c r="A1" s="1"/>
      <c r="B1" s="7" t="s">
        <v>20</v>
      </c>
      <c r="C1" s="2"/>
      <c r="D1" s="2"/>
      <c r="E1" s="2" t="s">
        <v>21</v>
      </c>
    </row>
    <row r="2" spans="1:5" ht="21">
      <c r="A2" s="3">
        <v>45627</v>
      </c>
      <c r="B2" s="4"/>
      <c r="C2" s="2"/>
      <c r="D2" s="2"/>
      <c r="E2" s="3">
        <v>45632</v>
      </c>
    </row>
    <row r="3" spans="1:5" ht="21">
      <c r="A3" s="3">
        <v>45628</v>
      </c>
      <c r="B3" s="4">
        <f>NETWORKDAYS.INTL(A2,A32,1,E2:E3)</f>
        <v>20</v>
      </c>
      <c r="C3" s="2"/>
      <c r="D3" s="2"/>
      <c r="E3" s="3">
        <v>45651</v>
      </c>
    </row>
    <row r="4" spans="1:5" ht="21">
      <c r="A4" s="3">
        <v>45629</v>
      </c>
      <c r="B4" s="4"/>
      <c r="C4" s="2"/>
      <c r="D4" s="2"/>
      <c r="E4" s="2"/>
    </row>
    <row r="5" spans="1:5" ht="21">
      <c r="A5" s="3">
        <v>45630</v>
      </c>
      <c r="B5" s="4"/>
      <c r="C5" s="2"/>
      <c r="D5" s="2"/>
      <c r="E5" s="2"/>
    </row>
    <row r="6" spans="1:5" ht="21">
      <c r="A6" s="3">
        <v>45631</v>
      </c>
      <c r="B6" s="4"/>
      <c r="C6" s="2"/>
      <c r="D6" s="2"/>
      <c r="E6" s="2"/>
    </row>
    <row r="7" spans="1:5" ht="21">
      <c r="A7" s="3">
        <v>45632</v>
      </c>
      <c r="B7" s="4"/>
      <c r="C7" s="2"/>
      <c r="D7" s="2"/>
      <c r="E7" s="2"/>
    </row>
    <row r="8" spans="1:5" ht="21">
      <c r="A8" s="3">
        <v>45633</v>
      </c>
      <c r="B8" s="4"/>
      <c r="C8" s="2"/>
      <c r="D8" s="2"/>
      <c r="E8" s="2"/>
    </row>
    <row r="9" spans="1:5" ht="21">
      <c r="A9" s="3">
        <v>45634</v>
      </c>
      <c r="B9" s="4"/>
      <c r="C9" s="2"/>
      <c r="D9" s="2"/>
      <c r="E9" s="2"/>
    </row>
    <row r="10" spans="1:5" ht="21">
      <c r="A10" s="3">
        <v>45635</v>
      </c>
      <c r="B10" s="4"/>
      <c r="C10" s="2"/>
      <c r="D10" s="2"/>
      <c r="E10" s="2"/>
    </row>
    <row r="11" spans="1:5" ht="21">
      <c r="A11" s="3">
        <v>45636</v>
      </c>
      <c r="B11" s="4"/>
      <c r="C11" s="2"/>
      <c r="D11" s="2"/>
      <c r="E11" s="2"/>
    </row>
    <row r="12" spans="1:5" ht="21">
      <c r="A12" s="3">
        <v>45637</v>
      </c>
      <c r="B12" s="4"/>
      <c r="C12" s="2"/>
      <c r="D12" s="2"/>
      <c r="E12" s="2"/>
    </row>
    <row r="13" spans="1:5" ht="21">
      <c r="A13" s="3">
        <v>45638</v>
      </c>
      <c r="B13" s="4"/>
      <c r="C13" s="2"/>
      <c r="D13" s="2"/>
      <c r="E13" s="2"/>
    </row>
    <row r="14" spans="1:5" ht="21">
      <c r="A14" s="3">
        <v>45639</v>
      </c>
      <c r="B14" s="4"/>
      <c r="C14" s="2"/>
      <c r="D14" s="2"/>
      <c r="E14" s="2"/>
    </row>
    <row r="15" spans="1:5" ht="21">
      <c r="A15" s="3">
        <v>45640</v>
      </c>
      <c r="B15" s="4"/>
      <c r="C15" s="2"/>
      <c r="D15" s="2"/>
      <c r="E15" s="2"/>
    </row>
    <row r="16" spans="1:5" ht="21">
      <c r="A16" s="3">
        <v>45641</v>
      </c>
      <c r="B16" s="4"/>
      <c r="C16" s="2"/>
      <c r="D16" s="2"/>
      <c r="E16" s="2"/>
    </row>
    <row r="17" spans="1:5" ht="21">
      <c r="A17" s="3">
        <v>45642</v>
      </c>
      <c r="B17" s="4"/>
      <c r="C17" s="2"/>
      <c r="D17" s="2"/>
      <c r="E17" s="2"/>
    </row>
    <row r="18" spans="1:5" ht="21">
      <c r="A18" s="3">
        <v>45643</v>
      </c>
      <c r="B18" s="4"/>
      <c r="C18" s="2"/>
      <c r="D18" s="2"/>
      <c r="E18" s="2"/>
    </row>
    <row r="19" spans="1:5" ht="21">
      <c r="A19" s="3">
        <v>45644</v>
      </c>
      <c r="B19" s="4"/>
      <c r="C19" s="2"/>
      <c r="D19" s="2"/>
      <c r="E19" s="2"/>
    </row>
    <row r="20" spans="1:5" ht="21">
      <c r="A20" s="3">
        <v>45645</v>
      </c>
      <c r="B20" s="4"/>
      <c r="C20" s="2"/>
      <c r="D20" s="2"/>
      <c r="E20" s="2"/>
    </row>
    <row r="21" spans="1:5" ht="21">
      <c r="A21" s="3">
        <v>45646</v>
      </c>
      <c r="B21" s="4"/>
      <c r="C21" s="2"/>
      <c r="D21" s="2"/>
      <c r="E21" s="2"/>
    </row>
    <row r="22" spans="1:5" ht="21">
      <c r="A22" s="3">
        <v>45647</v>
      </c>
      <c r="B22" s="4"/>
      <c r="C22" s="2"/>
      <c r="D22" s="2"/>
      <c r="E22" s="2"/>
    </row>
    <row r="23" spans="1:5" ht="21">
      <c r="A23" s="3">
        <v>45648</v>
      </c>
      <c r="B23" s="4"/>
      <c r="C23" s="2"/>
      <c r="D23" s="2"/>
      <c r="E23" s="2"/>
    </row>
    <row r="24" spans="1:5" ht="21">
      <c r="A24" s="3">
        <v>45649</v>
      </c>
      <c r="B24" s="4"/>
      <c r="C24" s="2"/>
      <c r="D24" s="2"/>
      <c r="E24" s="2"/>
    </row>
    <row r="25" spans="1:5" ht="21">
      <c r="A25" s="3">
        <v>45650</v>
      </c>
      <c r="B25" s="4"/>
      <c r="C25" s="2"/>
      <c r="D25" s="2"/>
      <c r="E25" s="2"/>
    </row>
    <row r="26" spans="1:5" ht="21">
      <c r="A26" s="3">
        <v>45651</v>
      </c>
      <c r="B26" s="4"/>
      <c r="C26" s="2"/>
      <c r="D26" s="2"/>
      <c r="E26" s="2"/>
    </row>
    <row r="27" spans="1:5" ht="21">
      <c r="A27" s="3">
        <v>45652</v>
      </c>
      <c r="B27" s="4"/>
      <c r="C27" s="2"/>
      <c r="D27" s="2"/>
      <c r="E27" s="2"/>
    </row>
    <row r="28" spans="1:5" ht="21">
      <c r="A28" s="3">
        <v>45653</v>
      </c>
      <c r="B28" s="4"/>
      <c r="C28" s="2"/>
      <c r="D28" s="2"/>
      <c r="E28" s="2"/>
    </row>
    <row r="29" spans="1:5" ht="21">
      <c r="A29" s="3">
        <v>45654</v>
      </c>
      <c r="B29" s="4"/>
      <c r="C29" s="2"/>
      <c r="D29" s="2"/>
      <c r="E29" s="2"/>
    </row>
    <row r="30" spans="1:5" ht="21">
      <c r="A30" s="3">
        <v>45655</v>
      </c>
      <c r="B30" s="4"/>
      <c r="C30" s="2"/>
      <c r="D30" s="2"/>
      <c r="E30" s="2"/>
    </row>
    <row r="31" spans="1:5" ht="21">
      <c r="A31" s="3">
        <v>45656</v>
      </c>
      <c r="B31" s="4"/>
      <c r="C31" s="2"/>
      <c r="D31" s="2"/>
      <c r="E31" s="2"/>
    </row>
    <row r="32" spans="1:5" ht="21">
      <c r="A32" s="3">
        <v>45657</v>
      </c>
      <c r="B32" s="4"/>
      <c r="C32" s="2"/>
      <c r="D32" s="2"/>
      <c r="E32" s="2"/>
    </row>
    <row r="33" spans="1:5" ht="21">
      <c r="A33" s="3"/>
      <c r="B33" s="4"/>
      <c r="C33" s="2"/>
      <c r="D33" s="2"/>
      <c r="E33" s="2"/>
    </row>
    <row r="34" spans="1:5" ht="21">
      <c r="A34" s="3"/>
      <c r="B34" s="4"/>
      <c r="C34" s="2"/>
      <c r="D34" s="2"/>
      <c r="E3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C60F-22BD-41F6-86B4-9D940DB0C564}">
  <dimension ref="A1:D5"/>
  <sheetViews>
    <sheetView workbookViewId="0">
      <selection activeCell="D2" sqref="D2"/>
    </sheetView>
  </sheetViews>
  <sheetFormatPr defaultRowHeight="15"/>
  <cols>
    <col min="1" max="1" width="24.42578125" bestFit="1" customWidth="1"/>
    <col min="2" max="2" width="23.140625" bestFit="1" customWidth="1"/>
    <col min="3" max="3" width="17.28515625" bestFit="1" customWidth="1"/>
    <col min="4" max="4" width="26.5703125" bestFit="1" customWidth="1"/>
  </cols>
  <sheetData>
    <row r="1" spans="1:4" ht="21">
      <c r="A1" s="1" t="s">
        <v>22</v>
      </c>
      <c r="B1" s="1" t="s">
        <v>23</v>
      </c>
      <c r="C1" s="1" t="s">
        <v>24</v>
      </c>
      <c r="D1" s="1" t="s">
        <v>25</v>
      </c>
    </row>
    <row r="2" spans="1:4" ht="21">
      <c r="A2" s="2" t="s">
        <v>6</v>
      </c>
      <c r="B2" s="2" t="s">
        <v>7</v>
      </c>
      <c r="C2" s="2" t="s">
        <v>26</v>
      </c>
      <c r="D2" s="2"/>
    </row>
    <row r="3" spans="1:4" ht="21">
      <c r="A3" s="2" t="s">
        <v>27</v>
      </c>
      <c r="B3" s="2" t="s">
        <v>28</v>
      </c>
      <c r="C3" s="2" t="s">
        <v>26</v>
      </c>
      <c r="D3" s="2"/>
    </row>
    <row r="4" spans="1:4" ht="21">
      <c r="A4" s="2" t="s">
        <v>29</v>
      </c>
      <c r="B4" s="2" t="s">
        <v>30</v>
      </c>
      <c r="C4" s="2" t="s">
        <v>26</v>
      </c>
      <c r="D4" s="2"/>
    </row>
    <row r="5" spans="1:4" ht="21">
      <c r="A5" s="2" t="s">
        <v>31</v>
      </c>
      <c r="B5" s="2" t="s">
        <v>32</v>
      </c>
      <c r="C5" s="2" t="s">
        <v>26</v>
      </c>
      <c r="D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5A7B-713F-41C1-AF7E-F855AD4E87D5}">
  <dimension ref="A1:E14"/>
  <sheetViews>
    <sheetView workbookViewId="0">
      <selection activeCell="F4" sqref="F4"/>
    </sheetView>
  </sheetViews>
  <sheetFormatPr defaultRowHeight="15"/>
  <cols>
    <col min="1" max="1" width="19.140625" bestFit="1" customWidth="1"/>
    <col min="2" max="2" width="23.85546875" bestFit="1" customWidth="1"/>
    <col min="3" max="3" width="22" bestFit="1" customWidth="1"/>
    <col min="4" max="4" width="19.42578125" bestFit="1" customWidth="1"/>
    <col min="5" max="5" width="42.28515625" customWidth="1"/>
  </cols>
  <sheetData>
    <row r="1" spans="1:5" ht="21">
      <c r="A1" s="1" t="s">
        <v>33</v>
      </c>
      <c r="B1" s="1" t="s">
        <v>34</v>
      </c>
      <c r="C1" s="1" t="s">
        <v>35</v>
      </c>
      <c r="D1" s="1" t="s">
        <v>36</v>
      </c>
      <c r="E1" s="5" t="s">
        <v>37</v>
      </c>
    </row>
    <row r="2" spans="1:5" ht="21">
      <c r="A2" s="2">
        <v>101</v>
      </c>
      <c r="B2" s="2" t="s">
        <v>38</v>
      </c>
      <c r="C2" s="2" t="s">
        <v>39</v>
      </c>
      <c r="D2" s="3" t="s">
        <v>40</v>
      </c>
      <c r="E2" s="8" t="str">
        <f ca="1">DATEDIF(D2,TODAY(),"Y")&amp;" Years "&amp;DATEDIF(D2,TODAY(),"M")&amp;" Months "&amp;DATEDIF(D2,TODAY(),"D")&amp;" Days "</f>
        <v xml:space="preserve">35 Years 429 Months 13073 Days </v>
      </c>
    </row>
    <row r="3" spans="1:5" ht="21">
      <c r="A3" s="2">
        <v>102</v>
      </c>
      <c r="B3" s="2" t="s">
        <v>41</v>
      </c>
      <c r="C3" s="2" t="s">
        <v>42</v>
      </c>
      <c r="D3" s="3" t="s">
        <v>43</v>
      </c>
      <c r="E3" s="8" t="str">
        <f t="shared" ref="E3:E6" ca="1" si="0">DATEDIF(D3,TODAY(),"Y")&amp;" Years "&amp;DATEDIF(D3,TODAY(),"M")&amp;" Months "&amp;DATEDIF(D3,TODAY(),"D")&amp;" Days "</f>
        <v xml:space="preserve">40 Years 485 Months 14765 Days </v>
      </c>
    </row>
    <row r="4" spans="1:5" ht="21">
      <c r="A4" s="2">
        <v>103</v>
      </c>
      <c r="B4" s="2" t="s">
        <v>44</v>
      </c>
      <c r="C4" s="2" t="s">
        <v>45</v>
      </c>
      <c r="D4" s="3" t="s">
        <v>46</v>
      </c>
      <c r="E4" s="8" t="str">
        <f t="shared" ca="1" si="0"/>
        <v xml:space="preserve">33 Years 407 Months 12401 Days </v>
      </c>
    </row>
    <row r="5" spans="1:5" ht="21">
      <c r="A5" s="2">
        <v>104</v>
      </c>
      <c r="B5" s="2" t="s">
        <v>47</v>
      </c>
      <c r="C5" s="2" t="s">
        <v>48</v>
      </c>
      <c r="D5" s="3" t="s">
        <v>49</v>
      </c>
      <c r="E5" s="8" t="str">
        <f t="shared" ca="1" si="0"/>
        <v xml:space="preserve">30 Years 366 Months 11167 Days </v>
      </c>
    </row>
    <row r="6" spans="1:5" ht="21">
      <c r="A6" s="2">
        <v>105</v>
      </c>
      <c r="B6" s="2" t="s">
        <v>50</v>
      </c>
      <c r="C6" s="2" t="s">
        <v>51</v>
      </c>
      <c r="D6" s="3" t="s">
        <v>52</v>
      </c>
      <c r="E6" s="8" t="str">
        <f t="shared" ca="1" si="0"/>
        <v xml:space="preserve">38 Years 458 Months 13948 Days </v>
      </c>
    </row>
    <row r="7" spans="1:5" ht="21">
      <c r="A7" s="2"/>
      <c r="B7" s="2"/>
      <c r="C7" s="2"/>
      <c r="D7" s="2"/>
      <c r="E7" s="2"/>
    </row>
    <row r="8" spans="1:5" ht="21">
      <c r="A8" s="2"/>
      <c r="B8" s="2"/>
      <c r="C8" s="2"/>
      <c r="D8" s="2"/>
      <c r="E8" s="2"/>
    </row>
    <row r="9" spans="1:5" ht="21">
      <c r="A9" s="2"/>
      <c r="B9" s="2"/>
      <c r="C9" s="2"/>
      <c r="D9" s="2"/>
      <c r="E9" s="2"/>
    </row>
    <row r="10" spans="1:5" ht="21">
      <c r="A10" s="2"/>
      <c r="B10" s="2"/>
      <c r="C10" s="2"/>
      <c r="D10" s="3"/>
      <c r="E10" s="2"/>
    </row>
    <row r="11" spans="1:5" ht="21">
      <c r="A11" s="2"/>
      <c r="B11" s="2"/>
      <c r="C11" s="3">
        <v>45656</v>
      </c>
      <c r="D11" s="2" t="s">
        <v>53</v>
      </c>
      <c r="E11" s="2"/>
    </row>
    <row r="13" spans="1:5">
      <c r="D13" t="s">
        <v>54</v>
      </c>
    </row>
    <row r="14" spans="1:5">
      <c r="D14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2026-04-27T08:23:33Z</dcterms:created>
  <dcterms:modified xsi:type="dcterms:W3CDTF">2026-04-27T09:29:21Z</dcterms:modified>
  <cp:category/>
  <cp:contentStatus/>
</cp:coreProperties>
</file>