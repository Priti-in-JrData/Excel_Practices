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63525E75-90A5-418A-A83A-AE6CF3F6FD6C}" xr6:coauthVersionLast="36" xr6:coauthVersionMax="36" xr10:uidLastSave="{00000000-0000-0000-0000-000000000000}"/>
  <bookViews>
    <workbookView xWindow="0" yWindow="0" windowWidth="20490" windowHeight="7545" activeTab="5" xr2:uid="{64507020-550F-41AB-A4A7-4D6B580C49F9}"/>
  </bookViews>
  <sheets>
    <sheet name="DSUM" sheetId="1" r:id="rId1"/>
    <sheet name="DAVERAGE" sheetId="2" r:id="rId2"/>
    <sheet name="DCOUNT" sheetId="3" r:id="rId3"/>
    <sheet name="DMAX_DMIN" sheetId="4" r:id="rId4"/>
    <sheet name="DPRODUCT" sheetId="5" r:id="rId5"/>
    <sheet name="DGE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6" l="1"/>
  <c r="I5" i="6"/>
  <c r="H5" i="6"/>
  <c r="C15" i="5"/>
  <c r="B15" i="5"/>
  <c r="H4" i="1"/>
  <c r="F19" i="4"/>
  <c r="E19" i="4"/>
  <c r="F18" i="4"/>
  <c r="E18" i="4"/>
  <c r="D16" i="3"/>
  <c r="D15" i="3"/>
  <c r="C15" i="3"/>
  <c r="C16" i="3"/>
  <c r="E14" i="2"/>
  <c r="E13" i="2"/>
  <c r="D14" i="2"/>
  <c r="D13" i="2"/>
  <c r="F14" i="1"/>
  <c r="F15" i="1"/>
  <c r="E14" i="1"/>
  <c r="E5" i="1"/>
  <c r="E6" i="1"/>
  <c r="E7" i="1"/>
  <c r="E8" i="1"/>
  <c r="E15" i="1" s="1"/>
  <c r="E9" i="1"/>
  <c r="E10" i="1"/>
  <c r="E4" i="1"/>
</calcChain>
</file>

<file path=xl/sharedStrings.xml><?xml version="1.0" encoding="utf-8"?>
<sst xmlns="http://schemas.openxmlformats.org/spreadsheetml/2006/main" count="231" uniqueCount="92">
  <si>
    <t>Item</t>
  </si>
  <si>
    <t>Nokia</t>
  </si>
  <si>
    <t>Sony</t>
  </si>
  <si>
    <t>Moto</t>
  </si>
  <si>
    <t>Samsung</t>
  </si>
  <si>
    <t>Qty</t>
  </si>
  <si>
    <t>Amount</t>
  </si>
  <si>
    <t>Total</t>
  </si>
  <si>
    <t>Profit</t>
  </si>
  <si>
    <t>Sales</t>
  </si>
  <si>
    <t>Field Name</t>
  </si>
  <si>
    <t>Crietria</t>
  </si>
  <si>
    <t>&gt;2</t>
  </si>
  <si>
    <t>&gt;5000</t>
  </si>
  <si>
    <t>Database_Function - DSUM</t>
  </si>
  <si>
    <t>REGION</t>
  </si>
  <si>
    <t>North</t>
  </si>
  <si>
    <t>South</t>
  </si>
  <si>
    <t>East</t>
  </si>
  <si>
    <t>West</t>
  </si>
  <si>
    <t>Amit</t>
  </si>
  <si>
    <t>Sumit</t>
  </si>
  <si>
    <t>Karan</t>
  </si>
  <si>
    <t>Aman</t>
  </si>
  <si>
    <t>Naman</t>
  </si>
  <si>
    <t>A</t>
  </si>
  <si>
    <t>Database_Function - Daverage</t>
  </si>
  <si>
    <t>Region</t>
  </si>
  <si>
    <t>Salesperson</t>
  </si>
  <si>
    <t>NAME</t>
  </si>
  <si>
    <t>SCORE</t>
  </si>
  <si>
    <t>Rehman</t>
  </si>
  <si>
    <t>Mahesh</t>
  </si>
  <si>
    <t>Suresh</t>
  </si>
  <si>
    <t>Surbhi</t>
  </si>
  <si>
    <t>Kumud</t>
  </si>
  <si>
    <t>Namita</t>
  </si>
  <si>
    <t>Nikita</t>
  </si>
  <si>
    <t>Male</t>
  </si>
  <si>
    <t>Female</t>
  </si>
  <si>
    <t>Math</t>
  </si>
  <si>
    <t>Science</t>
  </si>
  <si>
    <t>English</t>
  </si>
  <si>
    <t>SST</t>
  </si>
  <si>
    <t>Gender</t>
  </si>
  <si>
    <t>Subject</t>
  </si>
  <si>
    <t>Score</t>
  </si>
  <si>
    <t>Name</t>
  </si>
  <si>
    <t>Quarter</t>
  </si>
  <si>
    <t>Area</t>
  </si>
  <si>
    <t>Komal</t>
  </si>
  <si>
    <t>Kiran</t>
  </si>
  <si>
    <t>Kushbu</t>
  </si>
  <si>
    <t>Kusum</t>
  </si>
  <si>
    <t>Querter</t>
  </si>
  <si>
    <t>Smit</t>
  </si>
  <si>
    <t>Rehan</t>
  </si>
  <si>
    <t>Kisgor</t>
  </si>
  <si>
    <t>Rohan</t>
  </si>
  <si>
    <t>Meshra</t>
  </si>
  <si>
    <t>SalesRep</t>
  </si>
  <si>
    <t>Max</t>
  </si>
  <si>
    <t>Min</t>
  </si>
  <si>
    <t>AMIT</t>
  </si>
  <si>
    <t>SUMIT</t>
  </si>
  <si>
    <t>DATE</t>
  </si>
  <si>
    <t>23-04-2018</t>
  </si>
  <si>
    <t>25-04-2018</t>
  </si>
  <si>
    <t>28-04-2018</t>
  </si>
  <si>
    <t>TEST</t>
  </si>
  <si>
    <t>B</t>
  </si>
  <si>
    <t>C</t>
  </si>
  <si>
    <t>EMP_ID</t>
  </si>
  <si>
    <t>inod202</t>
  </si>
  <si>
    <t>inod203</t>
  </si>
  <si>
    <t>inod204</t>
  </si>
  <si>
    <t>inod205</t>
  </si>
  <si>
    <t>inod206</t>
  </si>
  <si>
    <t>inod207</t>
  </si>
  <si>
    <t>inod208</t>
  </si>
  <si>
    <t>inod209</t>
  </si>
  <si>
    <t>inod210</t>
  </si>
  <si>
    <t>inod211</t>
  </si>
  <si>
    <t>inod212</t>
  </si>
  <si>
    <t>inod213</t>
  </si>
  <si>
    <t>inod214</t>
  </si>
  <si>
    <t>inod215</t>
  </si>
  <si>
    <t>inod216</t>
  </si>
  <si>
    <t>inod217</t>
  </si>
  <si>
    <t>Souht</t>
  </si>
  <si>
    <t>Amir</t>
  </si>
  <si>
    <t>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</si>
</sst>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14" fontId="4" fillId="0" borderId="0" xfId="0" applyNumberFormat="1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14" fontId="4" fillId="3" borderId="0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4" fillId="3" borderId="0" xfId="0" applyFont="1" applyFill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9" fontId="4" fillId="0" borderId="0" xfId="0" applyNumberFormat="1" applyFont="1"/>
    <xf numFmtId="0" fontId="3" fillId="0" borderId="1" xfId="0" applyFont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F31A-E141-4CA4-951D-53C1CE2BC3E6}">
  <dimension ref="A1:H15"/>
  <sheetViews>
    <sheetView workbookViewId="0">
      <selection activeCell="H5" sqref="H5"/>
    </sheetView>
  </sheetViews>
  <sheetFormatPr defaultRowHeight="15" x14ac:dyDescent="0.25"/>
  <cols>
    <col min="1" max="1" width="17.5703125" bestFit="1" customWidth="1"/>
    <col min="2" max="2" width="9.5703125" bestFit="1" customWidth="1"/>
    <col min="3" max="4" width="12.7109375" bestFit="1" customWidth="1"/>
    <col min="5" max="5" width="11.5703125" bestFit="1" customWidth="1"/>
    <col min="6" max="6" width="9.42578125" bestFit="1" customWidth="1"/>
  </cols>
  <sheetData>
    <row r="1" spans="1:8" x14ac:dyDescent="0.25">
      <c r="A1" s="12" t="s">
        <v>14</v>
      </c>
      <c r="B1" s="13"/>
      <c r="C1" s="13"/>
      <c r="D1" s="13"/>
      <c r="E1" s="13"/>
    </row>
    <row r="2" spans="1:8" x14ac:dyDescent="0.25">
      <c r="A2" s="13"/>
      <c r="B2" s="13"/>
      <c r="C2" s="13"/>
      <c r="D2" s="13"/>
      <c r="E2" s="13"/>
    </row>
    <row r="3" spans="1:8" ht="23.25" x14ac:dyDescent="0.35">
      <c r="A3" s="14" t="s">
        <v>0</v>
      </c>
      <c r="B3" s="14" t="s">
        <v>5</v>
      </c>
      <c r="C3" s="14" t="s">
        <v>6</v>
      </c>
      <c r="D3" s="14" t="s">
        <v>7</v>
      </c>
      <c r="E3" s="14" t="s">
        <v>8</v>
      </c>
    </row>
    <row r="4" spans="1:8" ht="23.25" x14ac:dyDescent="0.35">
      <c r="A4" s="6" t="s">
        <v>1</v>
      </c>
      <c r="B4" s="6">
        <v>2</v>
      </c>
      <c r="C4" s="6">
        <v>5000</v>
      </c>
      <c r="D4" s="6">
        <v>10000</v>
      </c>
      <c r="E4" s="6">
        <f>D4+C4</f>
        <v>15000</v>
      </c>
      <c r="H4">
        <f>E4+E8+E10</f>
        <v>159000</v>
      </c>
    </row>
    <row r="5" spans="1:8" ht="23.25" x14ac:dyDescent="0.35">
      <c r="A5" s="6" t="s">
        <v>2</v>
      </c>
      <c r="B5" s="6">
        <v>5</v>
      </c>
      <c r="C5" s="6">
        <v>7000</v>
      </c>
      <c r="D5" s="6">
        <v>70000</v>
      </c>
      <c r="E5" s="6">
        <f t="shared" ref="E5:E10" si="0">D5+C5</f>
        <v>77000</v>
      </c>
    </row>
    <row r="6" spans="1:8" ht="23.25" x14ac:dyDescent="0.35">
      <c r="A6" s="6" t="s">
        <v>3</v>
      </c>
      <c r="B6" s="6">
        <v>4</v>
      </c>
      <c r="C6" s="6">
        <v>59825</v>
      </c>
      <c r="D6" s="6">
        <v>50000</v>
      </c>
      <c r="E6" s="6">
        <f t="shared" si="0"/>
        <v>109825</v>
      </c>
    </row>
    <row r="7" spans="1:8" ht="23.25" x14ac:dyDescent="0.35">
      <c r="A7" s="6" t="s">
        <v>4</v>
      </c>
      <c r="B7" s="6">
        <v>6</v>
      </c>
      <c r="C7" s="6">
        <v>8000</v>
      </c>
      <c r="D7" s="6">
        <v>48000</v>
      </c>
      <c r="E7" s="6">
        <f t="shared" si="0"/>
        <v>56000</v>
      </c>
    </row>
    <row r="8" spans="1:8" ht="23.25" x14ac:dyDescent="0.35">
      <c r="A8" s="6" t="s">
        <v>1</v>
      </c>
      <c r="B8" s="6">
        <v>7</v>
      </c>
      <c r="C8" s="6">
        <v>4000</v>
      </c>
      <c r="D8" s="6">
        <v>95000</v>
      </c>
      <c r="E8" s="6">
        <f t="shared" si="0"/>
        <v>99000</v>
      </c>
    </row>
    <row r="9" spans="1:8" ht="23.25" x14ac:dyDescent="0.35">
      <c r="A9" s="6" t="s">
        <v>2</v>
      </c>
      <c r="B9" s="6">
        <v>8</v>
      </c>
      <c r="C9" s="6">
        <v>8000</v>
      </c>
      <c r="D9" s="6">
        <v>85000</v>
      </c>
      <c r="E9" s="6">
        <f t="shared" si="0"/>
        <v>93000</v>
      </c>
    </row>
    <row r="10" spans="1:8" ht="23.25" x14ac:dyDescent="0.35">
      <c r="A10" s="6" t="s">
        <v>1</v>
      </c>
      <c r="B10" s="6">
        <v>8</v>
      </c>
      <c r="C10" s="6">
        <v>5000</v>
      </c>
      <c r="D10" s="6">
        <v>40000</v>
      </c>
      <c r="E10" s="6">
        <f t="shared" si="0"/>
        <v>45000</v>
      </c>
    </row>
    <row r="13" spans="1:8" ht="23.25" x14ac:dyDescent="0.35">
      <c r="A13" s="8" t="s">
        <v>10</v>
      </c>
      <c r="B13" s="8" t="s">
        <v>0</v>
      </c>
      <c r="C13" s="8" t="s">
        <v>5</v>
      </c>
      <c r="D13" s="8" t="s">
        <v>6</v>
      </c>
      <c r="E13" s="8" t="s">
        <v>8</v>
      </c>
      <c r="F13" s="8" t="s">
        <v>8</v>
      </c>
    </row>
    <row r="14" spans="1:8" ht="23.25" x14ac:dyDescent="0.35">
      <c r="A14" s="10" t="s">
        <v>11</v>
      </c>
      <c r="B14" s="11" t="s">
        <v>1</v>
      </c>
      <c r="C14" s="11" t="s">
        <v>12</v>
      </c>
      <c r="D14" s="11" t="s">
        <v>13</v>
      </c>
      <c r="E14" s="8">
        <f>SUMIF(A4:A10,B14,E4:E10)</f>
        <v>159000</v>
      </c>
      <c r="F14">
        <f>SUMIFS(E4:E10,A4:A10,B14,B4:B10,C14,C4:C10,D14)</f>
        <v>0</v>
      </c>
    </row>
    <row r="15" spans="1:8" ht="23.25" x14ac:dyDescent="0.35">
      <c r="A15" s="10"/>
      <c r="B15" s="11"/>
      <c r="C15" s="11"/>
      <c r="D15" s="11"/>
      <c r="E15" s="8">
        <f>DSUM(A3:E10,E3,B13:B14)</f>
        <v>159000</v>
      </c>
      <c r="F15" s="9">
        <f>DSUM(A3:E10,E3,B13:D14)</f>
        <v>0</v>
      </c>
    </row>
  </sheetData>
  <mergeCells count="2">
    <mergeCell ref="A1:E2"/>
    <mergeCell ref="A14:A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7726-4BD5-44A5-8E4F-42C698E676A2}">
  <dimension ref="A1:K14"/>
  <sheetViews>
    <sheetView workbookViewId="0">
      <selection activeCell="G4" sqref="G4"/>
    </sheetView>
  </sheetViews>
  <sheetFormatPr defaultRowHeight="15" x14ac:dyDescent="0.25"/>
  <cols>
    <col min="2" max="2" width="12" customWidth="1"/>
    <col min="3" max="3" width="16.140625" customWidth="1"/>
    <col min="4" max="4" width="7.42578125" bestFit="1" customWidth="1"/>
    <col min="5" max="5" width="7.7109375" bestFit="1" customWidth="1"/>
  </cols>
  <sheetData>
    <row r="1" spans="1:11" ht="21" x14ac:dyDescent="0.35">
      <c r="A1" s="15" t="s">
        <v>26</v>
      </c>
      <c r="B1" s="15"/>
      <c r="C1" s="15"/>
      <c r="D1" s="15"/>
      <c r="E1" s="15"/>
      <c r="F1" s="1"/>
      <c r="G1" s="1"/>
      <c r="H1" s="1"/>
      <c r="I1" s="1"/>
      <c r="J1" s="1"/>
      <c r="K1" s="1"/>
    </row>
    <row r="2" spans="1:11" ht="21" x14ac:dyDescent="0.35">
      <c r="A2" s="26"/>
      <c r="B2" s="16" t="s">
        <v>15</v>
      </c>
      <c r="C2" s="17" t="s">
        <v>28</v>
      </c>
      <c r="D2" s="16" t="s">
        <v>9</v>
      </c>
      <c r="E2" s="23"/>
      <c r="F2" s="2"/>
      <c r="G2" s="2"/>
      <c r="H2" s="2"/>
      <c r="I2" s="2"/>
      <c r="J2" s="2"/>
      <c r="K2" s="2"/>
    </row>
    <row r="3" spans="1:11" ht="21" x14ac:dyDescent="0.35">
      <c r="A3" s="26"/>
      <c r="B3" s="16" t="s">
        <v>16</v>
      </c>
      <c r="C3" s="17" t="s">
        <v>21</v>
      </c>
      <c r="D3" s="16">
        <v>100</v>
      </c>
      <c r="E3" s="23"/>
      <c r="F3" s="2"/>
      <c r="G3" s="2"/>
      <c r="H3" s="2"/>
      <c r="I3" s="2"/>
      <c r="J3" s="2"/>
      <c r="K3" s="2"/>
    </row>
    <row r="4" spans="1:11" ht="21" x14ac:dyDescent="0.35">
      <c r="A4" s="26"/>
      <c r="B4" s="16" t="s">
        <v>17</v>
      </c>
      <c r="C4" s="17" t="s">
        <v>22</v>
      </c>
      <c r="D4" s="16">
        <v>555</v>
      </c>
      <c r="E4" s="23"/>
      <c r="F4" s="2"/>
      <c r="G4" s="2"/>
      <c r="H4" s="2"/>
      <c r="I4" s="2"/>
      <c r="J4" s="2"/>
      <c r="K4" s="2"/>
    </row>
    <row r="5" spans="1:11" ht="21" x14ac:dyDescent="0.35">
      <c r="A5" s="26"/>
      <c r="B5" s="16" t="s">
        <v>18</v>
      </c>
      <c r="C5" s="17" t="s">
        <v>23</v>
      </c>
      <c r="D5" s="16">
        <v>333</v>
      </c>
      <c r="E5" s="23"/>
      <c r="F5" s="2"/>
      <c r="G5" s="2"/>
      <c r="H5" s="2"/>
      <c r="I5" s="2"/>
      <c r="J5" s="2"/>
      <c r="K5" s="2"/>
    </row>
    <row r="6" spans="1:11" ht="21" x14ac:dyDescent="0.35">
      <c r="A6" s="26"/>
      <c r="B6" s="27" t="s">
        <v>19</v>
      </c>
      <c r="C6" s="28" t="s">
        <v>24</v>
      </c>
      <c r="D6" s="27">
        <v>555</v>
      </c>
      <c r="E6" s="23"/>
      <c r="F6" s="2"/>
      <c r="G6" s="2"/>
      <c r="H6" s="2"/>
      <c r="I6" s="2"/>
      <c r="J6" s="2"/>
      <c r="K6" s="2"/>
    </row>
    <row r="7" spans="1:11" ht="21" x14ac:dyDescent="0.35">
      <c r="A7" s="26"/>
      <c r="B7" s="16" t="s">
        <v>17</v>
      </c>
      <c r="C7" s="17" t="s">
        <v>20</v>
      </c>
      <c r="D7" s="16">
        <v>333</v>
      </c>
      <c r="E7" s="23"/>
      <c r="F7" s="2"/>
      <c r="G7" s="2"/>
      <c r="H7" s="2"/>
      <c r="I7" s="2"/>
      <c r="J7" s="2"/>
      <c r="K7" s="2"/>
    </row>
    <row r="8" spans="1:11" ht="21" x14ac:dyDescent="0.35">
      <c r="A8" s="26"/>
      <c r="B8" s="16" t="s">
        <v>16</v>
      </c>
      <c r="C8" s="17" t="s">
        <v>22</v>
      </c>
      <c r="D8" s="16">
        <v>555</v>
      </c>
      <c r="E8" s="23"/>
      <c r="F8" s="2"/>
      <c r="G8" s="2"/>
      <c r="H8" s="2"/>
      <c r="I8" s="2"/>
      <c r="J8" s="2"/>
      <c r="K8" s="2"/>
    </row>
    <row r="9" spans="1:11" ht="21" x14ac:dyDescent="0.35">
      <c r="A9" s="26"/>
      <c r="B9" s="16" t="s">
        <v>18</v>
      </c>
      <c r="C9" s="17" t="s">
        <v>20</v>
      </c>
      <c r="D9" s="16">
        <v>333</v>
      </c>
      <c r="E9" s="23"/>
      <c r="F9" s="2"/>
      <c r="G9" s="2"/>
      <c r="H9" s="2"/>
      <c r="I9" s="2"/>
      <c r="J9" s="2"/>
      <c r="K9" s="2"/>
    </row>
    <row r="10" spans="1:11" ht="21" x14ac:dyDescent="0.35">
      <c r="A10" s="26"/>
      <c r="B10" s="16" t="s">
        <v>19</v>
      </c>
      <c r="C10" s="17" t="s">
        <v>23</v>
      </c>
      <c r="D10" s="16">
        <v>555</v>
      </c>
      <c r="E10" s="23"/>
      <c r="F10" s="2"/>
      <c r="G10" s="2"/>
      <c r="H10" s="2"/>
      <c r="I10" s="2"/>
      <c r="J10" s="2"/>
      <c r="K10" s="2"/>
    </row>
    <row r="11" spans="1:11" x14ac:dyDescent="0.25">
      <c r="B11" s="2"/>
      <c r="C11" s="3"/>
      <c r="D11" s="2"/>
      <c r="E11" s="24"/>
      <c r="F11" s="2"/>
      <c r="G11" s="2"/>
      <c r="H11" s="2"/>
      <c r="I11" s="2"/>
      <c r="J11" s="2"/>
      <c r="K11" s="2"/>
    </row>
    <row r="12" spans="1:11" ht="21" x14ac:dyDescent="0.35">
      <c r="B12" s="20" t="s">
        <v>27</v>
      </c>
      <c r="C12" s="21" t="s">
        <v>28</v>
      </c>
      <c r="D12" s="22" t="s">
        <v>9</v>
      </c>
      <c r="E12" s="25" t="s">
        <v>9</v>
      </c>
      <c r="F12" s="5"/>
      <c r="G12" s="5"/>
    </row>
    <row r="13" spans="1:11" ht="21" x14ac:dyDescent="0.25">
      <c r="B13" s="18" t="s">
        <v>16</v>
      </c>
      <c r="C13" s="19" t="s">
        <v>20</v>
      </c>
      <c r="D13">
        <f>AVERAGEIF(B3:B10,B13,D3:D10)</f>
        <v>327.5</v>
      </c>
      <c r="E13" t="e">
        <f>AVERAGEIFS(D3:D10,B3:B10,B13,C3:C10,C13)</f>
        <v>#DIV/0!</v>
      </c>
    </row>
    <row r="14" spans="1:11" ht="21" x14ac:dyDescent="0.25">
      <c r="B14" s="18" t="s">
        <v>16</v>
      </c>
      <c r="C14" s="19" t="s">
        <v>20</v>
      </c>
      <c r="D14">
        <f>DAVERAGE(B2:D10,D2,B12:B13)</f>
        <v>327.5</v>
      </c>
      <c r="E14" t="e">
        <f>DAVERAGE(B2:D10,D2,B12:C13)</f>
        <v>#DIV/0!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DF14-3131-40E3-AE5A-13B6B85445B4}">
  <dimension ref="A1:D16"/>
  <sheetViews>
    <sheetView topLeftCell="A2" workbookViewId="0">
      <selection activeCell="F17" sqref="F17"/>
    </sheetView>
  </sheetViews>
  <sheetFormatPr defaultRowHeight="15" x14ac:dyDescent="0.25"/>
  <cols>
    <col min="1" max="1" width="11.28515625" bestFit="1" customWidth="1"/>
    <col min="2" max="3" width="10.42578125" bestFit="1" customWidth="1"/>
    <col min="4" max="4" width="11.7109375" bestFit="1" customWidth="1"/>
  </cols>
  <sheetData>
    <row r="1" spans="1:4" ht="21" x14ac:dyDescent="0.35">
      <c r="A1" s="4" t="s">
        <v>47</v>
      </c>
      <c r="B1" s="4" t="s">
        <v>44</v>
      </c>
      <c r="C1" s="4" t="s">
        <v>45</v>
      </c>
      <c r="D1" s="4" t="s">
        <v>46</v>
      </c>
    </row>
    <row r="2" spans="1:4" ht="21" x14ac:dyDescent="0.35">
      <c r="A2" s="4" t="s">
        <v>20</v>
      </c>
      <c r="B2" s="4" t="s">
        <v>38</v>
      </c>
      <c r="C2" s="4" t="s">
        <v>40</v>
      </c>
      <c r="D2" s="29">
        <v>0.55000000000000004</v>
      </c>
    </row>
    <row r="3" spans="1:4" ht="21" x14ac:dyDescent="0.35">
      <c r="A3" s="4" t="s">
        <v>31</v>
      </c>
      <c r="B3" s="4" t="s">
        <v>38</v>
      </c>
      <c r="C3" s="4" t="s">
        <v>41</v>
      </c>
      <c r="D3" s="29">
        <v>0.22</v>
      </c>
    </row>
    <row r="4" spans="1:4" ht="21" x14ac:dyDescent="0.35">
      <c r="A4" s="4" t="s">
        <v>21</v>
      </c>
      <c r="B4" s="4" t="s">
        <v>38</v>
      </c>
      <c r="C4" s="4" t="s">
        <v>42</v>
      </c>
      <c r="D4" s="29">
        <v>0.66</v>
      </c>
    </row>
    <row r="5" spans="1:4" ht="21" x14ac:dyDescent="0.35">
      <c r="A5" s="4" t="s">
        <v>22</v>
      </c>
      <c r="B5" s="4" t="s">
        <v>38</v>
      </c>
      <c r="C5" s="4" t="s">
        <v>43</v>
      </c>
      <c r="D5" s="29">
        <v>0.88</v>
      </c>
    </row>
    <row r="6" spans="1:4" ht="21" x14ac:dyDescent="0.35">
      <c r="A6" s="4" t="s">
        <v>23</v>
      </c>
      <c r="B6" s="4" t="s">
        <v>38</v>
      </c>
      <c r="C6" s="4" t="s">
        <v>40</v>
      </c>
      <c r="D6" s="29">
        <v>0.56000000000000005</v>
      </c>
    </row>
    <row r="7" spans="1:4" ht="21" x14ac:dyDescent="0.35">
      <c r="A7" s="4" t="s">
        <v>32</v>
      </c>
      <c r="B7" s="4" t="s">
        <v>38</v>
      </c>
      <c r="C7" s="4" t="s">
        <v>41</v>
      </c>
      <c r="D7" s="29">
        <v>0.76</v>
      </c>
    </row>
    <row r="8" spans="1:4" ht="21" x14ac:dyDescent="0.35">
      <c r="A8" s="4" t="s">
        <v>33</v>
      </c>
      <c r="B8" s="4" t="s">
        <v>38</v>
      </c>
      <c r="C8" s="4" t="s">
        <v>40</v>
      </c>
      <c r="D8" s="29">
        <v>0.54</v>
      </c>
    </row>
    <row r="9" spans="1:4" ht="21" x14ac:dyDescent="0.35">
      <c r="A9" s="4" t="s">
        <v>34</v>
      </c>
      <c r="B9" s="4" t="s">
        <v>39</v>
      </c>
      <c r="C9" s="4" t="s">
        <v>41</v>
      </c>
      <c r="D9" s="29">
        <v>0.66</v>
      </c>
    </row>
    <row r="10" spans="1:4" ht="21" x14ac:dyDescent="0.35">
      <c r="A10" s="4" t="s">
        <v>35</v>
      </c>
      <c r="B10" s="4" t="s">
        <v>38</v>
      </c>
      <c r="C10" s="4" t="s">
        <v>41</v>
      </c>
      <c r="D10" s="29">
        <v>0.87</v>
      </c>
    </row>
    <row r="11" spans="1:4" ht="21" x14ac:dyDescent="0.35">
      <c r="A11" s="4" t="s">
        <v>36</v>
      </c>
      <c r="B11" s="4" t="s">
        <v>39</v>
      </c>
      <c r="C11" s="4" t="s">
        <v>40</v>
      </c>
      <c r="D11" s="29">
        <v>0.67</v>
      </c>
    </row>
    <row r="12" spans="1:4" ht="21" x14ac:dyDescent="0.35">
      <c r="A12" s="4" t="s">
        <v>37</v>
      </c>
      <c r="B12" s="4" t="s">
        <v>39</v>
      </c>
      <c r="C12" s="4" t="s">
        <v>42</v>
      </c>
      <c r="D12" s="29">
        <v>0.87</v>
      </c>
    </row>
    <row r="14" spans="1:4" ht="21" x14ac:dyDescent="0.35">
      <c r="A14" s="4" t="s">
        <v>44</v>
      </c>
      <c r="B14" s="4" t="s">
        <v>45</v>
      </c>
      <c r="C14" s="4" t="s">
        <v>46</v>
      </c>
      <c r="D14" s="4" t="s">
        <v>46</v>
      </c>
    </row>
    <row r="15" spans="1:4" ht="21" x14ac:dyDescent="0.35">
      <c r="A15" s="4" t="s">
        <v>38</v>
      </c>
      <c r="B15" s="4" t="s">
        <v>41</v>
      </c>
      <c r="C15" s="4">
        <f>COUNTIF(B2:B12,A15)</f>
        <v>8</v>
      </c>
      <c r="D15" s="4">
        <f>COUNTIFS(B2:B12,A15,C2:C12,B15)</f>
        <v>3</v>
      </c>
    </row>
    <row r="16" spans="1:4" ht="21" x14ac:dyDescent="0.35">
      <c r="A16" s="4" t="s">
        <v>38</v>
      </c>
      <c r="B16" s="4" t="s">
        <v>41</v>
      </c>
      <c r="C16" s="4">
        <f>DCOUNT(A1:D12,D1,A14:A15)</f>
        <v>8</v>
      </c>
      <c r="D16" s="4">
        <f>DCOUNTA(A1:D12,D1,A14:B15)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FA72-DA39-4843-B606-5ED83C6A4DEA}">
  <dimension ref="A1:F19"/>
  <sheetViews>
    <sheetView workbookViewId="0">
      <selection activeCell="D2" sqref="D2:D15"/>
    </sheetView>
  </sheetViews>
  <sheetFormatPr defaultRowHeight="15" x14ac:dyDescent="0.25"/>
  <cols>
    <col min="1" max="1" width="10.7109375" bestFit="1" customWidth="1"/>
    <col min="2" max="2" width="8.42578125" bestFit="1" customWidth="1"/>
    <col min="3" max="3" width="12" bestFit="1" customWidth="1"/>
    <col min="4" max="4" width="7.5703125" bestFit="1" customWidth="1"/>
  </cols>
  <sheetData>
    <row r="1" spans="1:4" ht="21" x14ac:dyDescent="0.35">
      <c r="A1" s="7" t="s">
        <v>48</v>
      </c>
      <c r="B1" s="7" t="s">
        <v>49</v>
      </c>
      <c r="C1" s="7" t="s">
        <v>60</v>
      </c>
      <c r="D1" s="7" t="s">
        <v>9</v>
      </c>
    </row>
    <row r="2" spans="1:4" ht="21" x14ac:dyDescent="0.35">
      <c r="A2" s="7">
        <v>1</v>
      </c>
      <c r="B2" s="7" t="s">
        <v>16</v>
      </c>
      <c r="C2" s="7" t="s">
        <v>20</v>
      </c>
      <c r="D2" s="7">
        <v>4526</v>
      </c>
    </row>
    <row r="3" spans="1:4" ht="21" x14ac:dyDescent="0.35">
      <c r="A3" s="7">
        <v>1</v>
      </c>
      <c r="B3" s="7" t="s">
        <v>16</v>
      </c>
      <c r="C3" s="7" t="s">
        <v>55</v>
      </c>
      <c r="D3" s="7">
        <v>4522</v>
      </c>
    </row>
    <row r="4" spans="1:4" ht="21" x14ac:dyDescent="0.35">
      <c r="A4" s="7">
        <v>1</v>
      </c>
      <c r="B4" s="7" t="s">
        <v>16</v>
      </c>
      <c r="C4" s="7" t="s">
        <v>56</v>
      </c>
      <c r="D4" s="7">
        <v>4518</v>
      </c>
    </row>
    <row r="5" spans="1:4" ht="21" x14ac:dyDescent="0.35">
      <c r="A5" s="7">
        <v>2</v>
      </c>
      <c r="B5" s="7" t="s">
        <v>17</v>
      </c>
      <c r="C5" s="7" t="s">
        <v>22</v>
      </c>
      <c r="D5" s="7">
        <v>4514</v>
      </c>
    </row>
    <row r="6" spans="1:4" ht="21" x14ac:dyDescent="0.35">
      <c r="A6" s="7">
        <v>2</v>
      </c>
      <c r="B6" s="7" t="s">
        <v>17</v>
      </c>
      <c r="C6" s="7" t="s">
        <v>57</v>
      </c>
      <c r="D6" s="7">
        <v>4510</v>
      </c>
    </row>
    <row r="7" spans="1:4" ht="21" x14ac:dyDescent="0.35">
      <c r="A7" s="7">
        <v>2</v>
      </c>
      <c r="B7" s="7" t="s">
        <v>17</v>
      </c>
      <c r="C7" s="7" t="s">
        <v>58</v>
      </c>
      <c r="D7" s="7">
        <v>4506</v>
      </c>
    </row>
    <row r="8" spans="1:4" ht="21" x14ac:dyDescent="0.35">
      <c r="A8" s="7">
        <v>2</v>
      </c>
      <c r="B8" s="7" t="s">
        <v>17</v>
      </c>
      <c r="C8" s="7" t="s">
        <v>59</v>
      </c>
      <c r="D8" s="7">
        <v>4502</v>
      </c>
    </row>
    <row r="9" spans="1:4" ht="21" x14ac:dyDescent="0.35">
      <c r="A9" s="7">
        <v>3</v>
      </c>
      <c r="B9" s="7" t="s">
        <v>18</v>
      </c>
      <c r="C9" s="7" t="s">
        <v>33</v>
      </c>
      <c r="D9" s="7">
        <v>4498</v>
      </c>
    </row>
    <row r="10" spans="1:4" ht="21" x14ac:dyDescent="0.35">
      <c r="A10" s="7">
        <v>3</v>
      </c>
      <c r="B10" s="7" t="s">
        <v>18</v>
      </c>
      <c r="C10" s="7" t="s">
        <v>20</v>
      </c>
      <c r="D10" s="7">
        <v>4494</v>
      </c>
    </row>
    <row r="11" spans="1:4" ht="21" x14ac:dyDescent="0.35">
      <c r="A11" s="7">
        <v>3</v>
      </c>
      <c r="B11" s="7" t="s">
        <v>18</v>
      </c>
      <c r="C11" s="7" t="s">
        <v>23</v>
      </c>
      <c r="D11" s="7">
        <v>4490</v>
      </c>
    </row>
    <row r="12" spans="1:4" ht="21" x14ac:dyDescent="0.35">
      <c r="A12" s="7">
        <v>4</v>
      </c>
      <c r="B12" s="7" t="s">
        <v>19</v>
      </c>
      <c r="C12" s="7" t="s">
        <v>50</v>
      </c>
      <c r="D12" s="7">
        <v>4486</v>
      </c>
    </row>
    <row r="13" spans="1:4" ht="21" x14ac:dyDescent="0.35">
      <c r="A13" s="7">
        <v>4</v>
      </c>
      <c r="B13" s="7" t="s">
        <v>19</v>
      </c>
      <c r="C13" s="7" t="s">
        <v>51</v>
      </c>
      <c r="D13" s="7">
        <v>4482</v>
      </c>
    </row>
    <row r="14" spans="1:4" ht="21" x14ac:dyDescent="0.35">
      <c r="A14" s="7">
        <v>4</v>
      </c>
      <c r="B14" s="7" t="s">
        <v>19</v>
      </c>
      <c r="C14" s="7" t="s">
        <v>52</v>
      </c>
      <c r="D14" s="7">
        <v>4478</v>
      </c>
    </row>
    <row r="15" spans="1:4" ht="21" x14ac:dyDescent="0.35">
      <c r="A15" s="7">
        <v>4</v>
      </c>
      <c r="B15" s="7" t="s">
        <v>19</v>
      </c>
      <c r="C15" s="7" t="s">
        <v>53</v>
      </c>
      <c r="D15" s="7">
        <v>4474</v>
      </c>
    </row>
    <row r="18" spans="1:6" ht="21" x14ac:dyDescent="0.35">
      <c r="A18" s="7" t="s">
        <v>54</v>
      </c>
      <c r="B18" s="7" t="s">
        <v>49</v>
      </c>
      <c r="D18" s="7" t="s">
        <v>61</v>
      </c>
      <c r="E18" s="7">
        <f>_xlfn.MAXIFS(D2:D15,A2:A15,A19,B2:B15,B19)</f>
        <v>4514</v>
      </c>
      <c r="F18" s="7">
        <f>DMAX(A1:D15,D1,A18:B19)</f>
        <v>4514</v>
      </c>
    </row>
    <row r="19" spans="1:6" ht="21" x14ac:dyDescent="0.35">
      <c r="A19" s="7">
        <v>2</v>
      </c>
      <c r="B19" s="7" t="s">
        <v>17</v>
      </c>
      <c r="D19" s="7" t="s">
        <v>62</v>
      </c>
      <c r="E19" s="7">
        <f>_xlfn.MINIFS(D2:D15,A2:A15,A19,B2:B15,B19)</f>
        <v>4502</v>
      </c>
      <c r="F19" s="7">
        <f>DMIN(A1:D15,D1,A18:B19)</f>
        <v>4502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ABFE-5BE9-4680-AB5E-89E35B07D658}">
  <dimension ref="A1:D15"/>
  <sheetViews>
    <sheetView workbookViewId="0">
      <selection activeCell="C16" sqref="C16"/>
    </sheetView>
  </sheetViews>
  <sheetFormatPr defaultRowHeight="15" x14ac:dyDescent="0.25"/>
  <cols>
    <col min="2" max="2" width="10.42578125" bestFit="1" customWidth="1"/>
  </cols>
  <sheetData>
    <row r="1" spans="1:4" x14ac:dyDescent="0.25">
      <c r="A1" t="s">
        <v>29</v>
      </c>
      <c r="B1" t="s">
        <v>65</v>
      </c>
      <c r="C1" t="s">
        <v>69</v>
      </c>
      <c r="D1" t="s">
        <v>30</v>
      </c>
    </row>
    <row r="2" spans="1:4" x14ac:dyDescent="0.25">
      <c r="A2" t="s">
        <v>63</v>
      </c>
      <c r="B2" t="s">
        <v>66</v>
      </c>
      <c r="C2" t="s">
        <v>25</v>
      </c>
      <c r="D2">
        <v>3</v>
      </c>
    </row>
    <row r="3" spans="1:4" x14ac:dyDescent="0.25">
      <c r="A3" t="s">
        <v>63</v>
      </c>
      <c r="B3" t="s">
        <v>66</v>
      </c>
      <c r="C3" t="s">
        <v>25</v>
      </c>
      <c r="D3">
        <v>4</v>
      </c>
    </row>
    <row r="4" spans="1:4" x14ac:dyDescent="0.25">
      <c r="A4" t="s">
        <v>63</v>
      </c>
      <c r="B4" t="s">
        <v>66</v>
      </c>
      <c r="C4" t="s">
        <v>25</v>
      </c>
      <c r="D4">
        <v>5</v>
      </c>
    </row>
    <row r="5" spans="1:4" x14ac:dyDescent="0.25">
      <c r="A5" t="s">
        <v>63</v>
      </c>
      <c r="B5" t="s">
        <v>67</v>
      </c>
      <c r="C5" t="s">
        <v>25</v>
      </c>
      <c r="D5">
        <v>3</v>
      </c>
    </row>
    <row r="6" spans="1:4" x14ac:dyDescent="0.25">
      <c r="A6" t="s">
        <v>63</v>
      </c>
      <c r="B6" t="s">
        <v>67</v>
      </c>
      <c r="C6" t="s">
        <v>70</v>
      </c>
      <c r="D6">
        <v>3</v>
      </c>
    </row>
    <row r="7" spans="1:4" x14ac:dyDescent="0.25">
      <c r="A7" t="s">
        <v>64</v>
      </c>
      <c r="B7" t="s">
        <v>68</v>
      </c>
      <c r="C7" t="s">
        <v>70</v>
      </c>
      <c r="D7">
        <v>5</v>
      </c>
    </row>
    <row r="8" spans="1:4" x14ac:dyDescent="0.25">
      <c r="A8" t="s">
        <v>64</v>
      </c>
      <c r="B8" t="s">
        <v>68</v>
      </c>
      <c r="C8" t="s">
        <v>70</v>
      </c>
      <c r="D8">
        <v>6</v>
      </c>
    </row>
    <row r="9" spans="1:4" x14ac:dyDescent="0.25">
      <c r="A9" t="s">
        <v>64</v>
      </c>
      <c r="B9" t="s">
        <v>68</v>
      </c>
      <c r="C9" t="s">
        <v>71</v>
      </c>
      <c r="D9">
        <v>4</v>
      </c>
    </row>
    <row r="10" spans="1:4" x14ac:dyDescent="0.25">
      <c r="A10" t="s">
        <v>64</v>
      </c>
      <c r="B10" t="s">
        <v>68</v>
      </c>
      <c r="C10" t="s">
        <v>71</v>
      </c>
      <c r="D10">
        <v>2</v>
      </c>
    </row>
    <row r="11" spans="1:4" x14ac:dyDescent="0.25">
      <c r="A11" t="s">
        <v>64</v>
      </c>
      <c r="B11" t="s">
        <v>68</v>
      </c>
      <c r="C11" t="s">
        <v>71</v>
      </c>
      <c r="D11">
        <v>3</v>
      </c>
    </row>
    <row r="12" spans="1:4" x14ac:dyDescent="0.25">
      <c r="A12" t="s">
        <v>64</v>
      </c>
      <c r="B12" t="s">
        <v>68</v>
      </c>
      <c r="C12" t="s">
        <v>71</v>
      </c>
      <c r="D12">
        <v>7</v>
      </c>
    </row>
    <row r="14" spans="1:4" x14ac:dyDescent="0.25">
      <c r="A14" t="s">
        <v>29</v>
      </c>
      <c r="B14" t="s">
        <v>30</v>
      </c>
      <c r="C14" t="s">
        <v>30</v>
      </c>
    </row>
    <row r="15" spans="1:4" x14ac:dyDescent="0.25">
      <c r="A15" t="s">
        <v>63</v>
      </c>
      <c r="B15">
        <f>DPRODUCT(A1:D12,D1,A14:A15)</f>
        <v>540</v>
      </c>
      <c r="C15">
        <f>D2*D3*D4*D5*D6</f>
        <v>540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50EE-1C0F-4358-ABEC-B040DEB42AB0}">
  <dimension ref="A1:J17"/>
  <sheetViews>
    <sheetView tabSelected="1" workbookViewId="0">
      <selection activeCell="G8" sqref="G8"/>
    </sheetView>
  </sheetViews>
  <sheetFormatPr defaultRowHeight="15" x14ac:dyDescent="0.25"/>
  <cols>
    <col min="1" max="1" width="11.42578125" bestFit="1" customWidth="1"/>
    <col min="2" max="2" width="8.42578125" bestFit="1" customWidth="1"/>
    <col min="3" max="3" width="12" bestFit="1" customWidth="1"/>
    <col min="4" max="4" width="7.5703125" bestFit="1" customWidth="1"/>
    <col min="7" max="7" width="10.42578125" bestFit="1" customWidth="1"/>
    <col min="9" max="9" width="11" bestFit="1" customWidth="1"/>
  </cols>
  <sheetData>
    <row r="1" spans="1:10" ht="21" x14ac:dyDescent="0.35">
      <c r="A1" s="7" t="s">
        <v>72</v>
      </c>
      <c r="B1" s="7" t="s">
        <v>49</v>
      </c>
      <c r="C1" s="7" t="s">
        <v>60</v>
      </c>
      <c r="D1" s="7" t="s">
        <v>9</v>
      </c>
    </row>
    <row r="2" spans="1:10" ht="21" x14ac:dyDescent="0.35">
      <c r="A2" s="7" t="s">
        <v>73</v>
      </c>
      <c r="B2" s="7" t="s">
        <v>16</v>
      </c>
      <c r="C2" s="7" t="s">
        <v>20</v>
      </c>
      <c r="D2" s="7">
        <v>4526</v>
      </c>
    </row>
    <row r="3" spans="1:10" ht="21" x14ac:dyDescent="0.35">
      <c r="A3" s="7" t="s">
        <v>74</v>
      </c>
      <c r="B3" s="7" t="s">
        <v>16</v>
      </c>
      <c r="C3" s="7" t="s">
        <v>55</v>
      </c>
      <c r="D3" s="7">
        <v>4522</v>
      </c>
    </row>
    <row r="4" spans="1:10" ht="21" x14ac:dyDescent="0.35">
      <c r="A4" s="7" t="s">
        <v>75</v>
      </c>
      <c r="B4" s="7" t="s">
        <v>16</v>
      </c>
      <c r="C4" s="7" t="s">
        <v>56</v>
      </c>
      <c r="D4" s="7">
        <v>4518</v>
      </c>
      <c r="G4" s="30" t="s">
        <v>72</v>
      </c>
      <c r="H4" s="30" t="s">
        <v>49</v>
      </c>
      <c r="I4" s="30" t="s">
        <v>60</v>
      </c>
      <c r="J4" s="30" t="s">
        <v>9</v>
      </c>
    </row>
    <row r="5" spans="1:10" ht="21" x14ac:dyDescent="0.35">
      <c r="A5" s="7" t="s">
        <v>76</v>
      </c>
      <c r="B5" s="7" t="s">
        <v>16</v>
      </c>
      <c r="C5" s="7" t="s">
        <v>22</v>
      </c>
      <c r="D5" s="7">
        <v>4514</v>
      </c>
      <c r="G5" s="30" t="s">
        <v>86</v>
      </c>
      <c r="H5" s="30" t="str">
        <f>DGET(A1:D17,B1,G4:G5)</f>
        <v>West</v>
      </c>
      <c r="I5" s="30" t="str">
        <f>DGET(A1:D17,C1,G4:G5)</f>
        <v>Kusum</v>
      </c>
      <c r="J5" s="30">
        <f>DGET(A1:D17,D1,G4:G5)</f>
        <v>4474</v>
      </c>
    </row>
    <row r="6" spans="1:10" ht="21" x14ac:dyDescent="0.35">
      <c r="A6" s="7" t="s">
        <v>77</v>
      </c>
      <c r="B6" s="7" t="s">
        <v>16</v>
      </c>
      <c r="C6" s="7" t="s">
        <v>57</v>
      </c>
      <c r="D6" s="7">
        <v>4510</v>
      </c>
    </row>
    <row r="7" spans="1:10" ht="21" x14ac:dyDescent="0.35">
      <c r="A7" s="7" t="s">
        <v>78</v>
      </c>
      <c r="B7" s="7" t="s">
        <v>89</v>
      </c>
      <c r="C7" s="7" t="s">
        <v>58</v>
      </c>
      <c r="D7" s="7">
        <v>4506</v>
      </c>
    </row>
    <row r="8" spans="1:10" ht="21" x14ac:dyDescent="0.35">
      <c r="A8" s="7" t="s">
        <v>79</v>
      </c>
      <c r="B8" s="7" t="s">
        <v>89</v>
      </c>
      <c r="C8" s="7" t="s">
        <v>59</v>
      </c>
      <c r="D8" s="7">
        <v>4502</v>
      </c>
    </row>
    <row r="9" spans="1:10" ht="21" x14ac:dyDescent="0.35">
      <c r="A9" s="7" t="s">
        <v>80</v>
      </c>
      <c r="B9" s="7" t="s">
        <v>89</v>
      </c>
      <c r="C9" s="7" t="s">
        <v>33</v>
      </c>
      <c r="D9" s="7">
        <v>4498</v>
      </c>
    </row>
    <row r="10" spans="1:10" ht="21" x14ac:dyDescent="0.35">
      <c r="A10" s="7" t="s">
        <v>81</v>
      </c>
      <c r="B10" s="7" t="s">
        <v>89</v>
      </c>
      <c r="C10" s="7" t="s">
        <v>20</v>
      </c>
      <c r="D10" s="7">
        <v>4494</v>
      </c>
    </row>
    <row r="11" spans="1:10" ht="21" x14ac:dyDescent="0.35">
      <c r="A11" s="7" t="s">
        <v>82</v>
      </c>
      <c r="B11" s="7" t="s">
        <v>18</v>
      </c>
      <c r="C11" s="7" t="s">
        <v>23</v>
      </c>
      <c r="D11" s="7">
        <v>4490</v>
      </c>
    </row>
    <row r="12" spans="1:10" ht="21" x14ac:dyDescent="0.35">
      <c r="A12" s="7" t="s">
        <v>83</v>
      </c>
      <c r="B12" s="7" t="s">
        <v>18</v>
      </c>
      <c r="C12" s="7" t="s">
        <v>50</v>
      </c>
      <c r="D12" s="7">
        <v>4486</v>
      </c>
    </row>
    <row r="13" spans="1:10" ht="21" x14ac:dyDescent="0.35">
      <c r="A13" s="7" t="s">
        <v>84</v>
      </c>
      <c r="B13" s="7" t="s">
        <v>18</v>
      </c>
      <c r="C13" s="7" t="s">
        <v>51</v>
      </c>
      <c r="D13" s="7">
        <v>4482</v>
      </c>
    </row>
    <row r="14" spans="1:10" ht="21" x14ac:dyDescent="0.35">
      <c r="A14" s="7" t="s">
        <v>85</v>
      </c>
      <c r="B14" s="7" t="s">
        <v>19</v>
      </c>
      <c r="C14" s="7" t="s">
        <v>52</v>
      </c>
      <c r="D14" s="7">
        <v>4478</v>
      </c>
    </row>
    <row r="15" spans="1:10" ht="21" x14ac:dyDescent="0.35">
      <c r="A15" s="7" t="s">
        <v>86</v>
      </c>
      <c r="B15" s="7" t="s">
        <v>19</v>
      </c>
      <c r="C15" s="7" t="s">
        <v>53</v>
      </c>
      <c r="D15" s="7">
        <v>4474</v>
      </c>
    </row>
    <row r="16" spans="1:10" ht="21" x14ac:dyDescent="0.35">
      <c r="A16" s="7" t="s">
        <v>87</v>
      </c>
      <c r="B16" s="7" t="s">
        <v>19</v>
      </c>
      <c r="C16" s="31" t="s">
        <v>90</v>
      </c>
      <c r="D16" s="7">
        <v>4474</v>
      </c>
    </row>
    <row r="17" spans="1:4" ht="21" x14ac:dyDescent="0.35">
      <c r="A17" s="7" t="s">
        <v>88</v>
      </c>
      <c r="B17" s="7" t="s">
        <v>19</v>
      </c>
      <c r="C17" s="31" t="s">
        <v>91</v>
      </c>
      <c r="D17" s="7">
        <v>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DSUM</vt:lpstr>
      <vt:lpstr>DAVERAGE</vt:lpstr>
      <vt:lpstr>DCOUNT</vt:lpstr>
      <vt:lpstr>DMAX_DMIN</vt:lpstr>
      <vt:lpstr>DPRODUCT</vt:lpstr>
      <vt:lpstr>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2026-04-22T15:29:53Z</dcterms:created>
  <dcterms:modified xsi:type="dcterms:W3CDTF">2026-04-23T13:09:39Z</dcterms:modified>
</cp:coreProperties>
</file>