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E22B8A14-CF7F-4A60-B25D-AAB1E5AC94BA}" xr6:coauthVersionLast="36" xr6:coauthVersionMax="36" xr10:uidLastSave="{00000000-0000-0000-0000-000000000000}"/>
  <bookViews>
    <workbookView xWindow="0" yWindow="0" windowWidth="20490" windowHeight="7545" firstSheet="1" activeTab="5" xr2:uid="{CFB8278A-B614-49E3-AFA1-13ACDEBADCDE}"/>
  </bookViews>
  <sheets>
    <sheet name="Basic_Lookup" sheetId="1" r:id="rId1"/>
    <sheet name="Basic_Lookup_1" sheetId="2" r:id="rId2"/>
    <sheet name="Range_Lookup" sheetId="3" r:id="rId3"/>
    <sheet name="Range_Lookup_2" sheetId="4" r:id="rId4"/>
    <sheet name="Range_Lookup_3" sheetId="5" r:id="rId5"/>
    <sheet name="Dynamic_Vlookup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6" l="1"/>
  <c r="E16" i="6"/>
  <c r="B2" i="6"/>
  <c r="E15" i="6"/>
  <c r="E14" i="6"/>
  <c r="E13" i="6"/>
  <c r="E12" i="6"/>
  <c r="E11" i="6"/>
  <c r="E10" i="6"/>
  <c r="E9" i="6"/>
  <c r="E8" i="6"/>
  <c r="E7" i="6"/>
  <c r="E6" i="6"/>
  <c r="E5" i="6"/>
  <c r="G3" i="5"/>
  <c r="G4" i="5"/>
  <c r="G5" i="5"/>
  <c r="G6" i="5"/>
  <c r="G2" i="5"/>
  <c r="G2" i="4" l="1"/>
  <c r="G2" i="3"/>
  <c r="B4" i="2" l="1"/>
  <c r="E9" i="2"/>
  <c r="E10" i="2"/>
  <c r="E11" i="2"/>
  <c r="E12" i="2"/>
  <c r="F4" i="2" s="1"/>
  <c r="E13" i="2"/>
  <c r="E14" i="2"/>
  <c r="E15" i="2"/>
  <c r="E16" i="2"/>
  <c r="E17" i="2"/>
  <c r="E18" i="2"/>
  <c r="E19" i="2"/>
  <c r="E20" i="2"/>
  <c r="E21" i="2"/>
  <c r="C4" i="2" s="1"/>
  <c r="E22" i="2"/>
  <c r="E23" i="2"/>
  <c r="E24" i="2"/>
  <c r="E25" i="2"/>
  <c r="E26" i="2"/>
  <c r="E27" i="2"/>
  <c r="E28" i="2"/>
  <c r="E29" i="2"/>
  <c r="E30" i="2"/>
  <c r="E31" i="2"/>
  <c r="E32" i="2"/>
  <c r="E33" i="2"/>
  <c r="E8" i="2"/>
  <c r="G12" i="1"/>
  <c r="G11" i="1"/>
  <c r="G10" i="1"/>
  <c r="L18" i="1"/>
  <c r="K18" i="1"/>
  <c r="J18" i="1"/>
  <c r="I18" i="1"/>
  <c r="H18" i="1"/>
  <c r="G18" i="1"/>
  <c r="F18" i="1"/>
  <c r="E18" i="1"/>
  <c r="D18" i="1"/>
  <c r="C18" i="1"/>
  <c r="B18" i="1"/>
  <c r="I4" i="1"/>
  <c r="H4" i="1"/>
  <c r="G4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<sst xmlns="http://schemas.openxmlformats.org/spreadsheetml/2006/main" count="127" uniqueCount="44">
  <si>
    <t>Items</t>
  </si>
  <si>
    <t>Moniter</t>
  </si>
  <si>
    <t>Keyboard</t>
  </si>
  <si>
    <t>Hard Disk</t>
  </si>
  <si>
    <t>RAM</t>
  </si>
  <si>
    <t>CPU</t>
  </si>
  <si>
    <t>Projecters</t>
  </si>
  <si>
    <t>MotherBoard</t>
  </si>
  <si>
    <t>UPS</t>
  </si>
  <si>
    <t>Webcam</t>
  </si>
  <si>
    <t>USB</t>
  </si>
  <si>
    <t>Cost</t>
  </si>
  <si>
    <t>Qty</t>
  </si>
  <si>
    <t>Sales</t>
  </si>
  <si>
    <t>Mouse</t>
  </si>
  <si>
    <t>VLOOKUP - Vertical Lookup</t>
  </si>
  <si>
    <t>HLOOKUP - Horizentel Lookup</t>
  </si>
  <si>
    <t>Item Name</t>
  </si>
  <si>
    <t>Amount</t>
  </si>
  <si>
    <t>Item_id</t>
  </si>
  <si>
    <t>Scanner</t>
  </si>
  <si>
    <t>KeyBoard</t>
  </si>
  <si>
    <t>Price</t>
  </si>
  <si>
    <t xml:space="preserve">Vlookup not show duplicat value </t>
  </si>
  <si>
    <t>Its shows only 1st value is valuable</t>
  </si>
  <si>
    <t>IFNA (Vlookup)</t>
  </si>
  <si>
    <t>8 AM - 2 PM</t>
  </si>
  <si>
    <t>9 AM - 3 PM</t>
  </si>
  <si>
    <t>10 AM - 4 PM</t>
  </si>
  <si>
    <t>11 AM - 5 PM</t>
  </si>
  <si>
    <t>EMP_ID</t>
  </si>
  <si>
    <t>WORKING HOURS</t>
  </si>
  <si>
    <t>WORKING IN</t>
  </si>
  <si>
    <t>Score</t>
  </si>
  <si>
    <t>Grade</t>
  </si>
  <si>
    <t>F</t>
  </si>
  <si>
    <t>D</t>
  </si>
  <si>
    <t>C</t>
  </si>
  <si>
    <t>B</t>
  </si>
  <si>
    <t>A</t>
  </si>
  <si>
    <t>Quentity</t>
  </si>
  <si>
    <t>Unit Price</t>
  </si>
  <si>
    <t>Item_ID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</si>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</sst>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7"/>
      <color theme="0" tint="-4.9989318521683403E-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0" borderId="1" xfId="0" applyFont="1" applyFill="1" applyBorder="1"/>
    <xf numFmtId="1" fontId="1" fillId="0" borderId="1" xfId="0" applyNumberFormat="1" applyFont="1" applyBorder="1"/>
    <xf numFmtId="1" fontId="0" fillId="0" borderId="0" xfId="0" applyNumberFormat="1"/>
    <xf numFmtId="0" fontId="7" fillId="4" borderId="0" xfId="0" applyFont="1" applyFill="1"/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5" borderId="0" xfId="0" applyFont="1" applyFill="1"/>
    <xf numFmtId="166" fontId="1" fillId="5" borderId="0" xfId="0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2" fillId="5" borderId="1" xfId="0" applyFont="1" applyFill="1" applyBorder="1"/>
    <xf numFmtId="0" fontId="8" fillId="0" borderId="0" xfId="0" applyFont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77EA35-158F-4D93-8C36-18AC5248F1E0}" name="Table3" displayName="Table3" ref="A4:E17" totalsRowShown="0" headerRowDxfId="0" dataDxfId="1" headerRowBorderDxfId="8" tableBorderDxfId="9" totalsRowBorderDxfId="7">
  <tableColumns count="5">
    <tableColumn id="1" xr3:uid="{B4ECD324-19F2-4135-B2C5-969C2B328081}" name="Item_ID" dataDxfId="6"/>
    <tableColumn id="2" xr3:uid="{72BC454B-5E55-45BB-9972-E51F5F4D7644}" name="Item_Name" dataDxfId="5"/>
    <tableColumn id="3" xr3:uid="{5F284027-7CA4-4361-9597-CB0EADB32933}" name="Cost" dataDxfId="4"/>
    <tableColumn id="4" xr3:uid="{BAAE1197-5E6F-4904-BB2F-76DFB077674E}" name="Qty" dataDxfId="3"/>
    <tableColumn id="5" xr3:uid="{747BEF4B-D28B-4171-A77C-D456957AF088}" name="Sales" dataDxfId="2">
      <calculatedColumnFormula>C5*D5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BDE6-1115-4074-9734-BD492EA7AC4F}">
  <sheetPr>
    <tabColor theme="9" tint="0.39997558519241921"/>
  </sheetPr>
  <dimension ref="A1:L18"/>
  <sheetViews>
    <sheetView workbookViewId="0">
      <selection activeCell="B11" sqref="A1:D12"/>
    </sheetView>
  </sheetViews>
  <sheetFormatPr defaultRowHeight="15" x14ac:dyDescent="0.25"/>
  <cols>
    <col min="1" max="1" width="17.85546875" bestFit="1" customWidth="1"/>
    <col min="2" max="2" width="11.140625" bestFit="1" customWidth="1"/>
    <col min="3" max="3" width="12.85546875" bestFit="1" customWidth="1"/>
    <col min="4" max="4" width="10.7109375" bestFit="1" customWidth="1"/>
    <col min="5" max="5" width="13" bestFit="1" customWidth="1"/>
    <col min="6" max="6" width="9.28515625" bestFit="1" customWidth="1"/>
    <col min="7" max="7" width="17.85546875" bestFit="1" customWidth="1"/>
    <col min="8" max="8" width="13.5703125" bestFit="1" customWidth="1"/>
    <col min="9" max="9" width="17.85546875" bestFit="1" customWidth="1"/>
    <col min="11" max="11" width="12.140625" bestFit="1" customWidth="1"/>
  </cols>
  <sheetData>
    <row r="1" spans="1:12" ht="21" x14ac:dyDescent="0.35">
      <c r="A1" s="3" t="s">
        <v>0</v>
      </c>
      <c r="B1" s="3" t="s">
        <v>11</v>
      </c>
      <c r="C1" s="3" t="s">
        <v>12</v>
      </c>
      <c r="D1" s="3" t="s">
        <v>13</v>
      </c>
    </row>
    <row r="2" spans="1:12" ht="23.25" x14ac:dyDescent="0.35">
      <c r="A2" s="2" t="s">
        <v>1</v>
      </c>
      <c r="B2" s="2">
        <v>4500</v>
      </c>
      <c r="C2" s="2">
        <v>12</v>
      </c>
      <c r="D2" s="2">
        <f>B2*C2</f>
        <v>54000</v>
      </c>
      <c r="F2" s="9" t="s">
        <v>15</v>
      </c>
      <c r="G2" s="10"/>
      <c r="H2" s="10"/>
      <c r="I2" s="10"/>
    </row>
    <row r="3" spans="1:12" ht="21" x14ac:dyDescent="0.35">
      <c r="A3" s="2" t="s">
        <v>2</v>
      </c>
      <c r="B3" s="2">
        <v>250</v>
      </c>
      <c r="C3" s="2">
        <v>10</v>
      </c>
      <c r="D3" s="2">
        <f t="shared" ref="D3:D12" si="0">B3*C3</f>
        <v>2500</v>
      </c>
      <c r="F3" s="3" t="s">
        <v>0</v>
      </c>
      <c r="G3" s="3" t="s">
        <v>11</v>
      </c>
      <c r="H3" s="3" t="s">
        <v>12</v>
      </c>
      <c r="I3" s="3" t="s">
        <v>13</v>
      </c>
    </row>
    <row r="4" spans="1:12" ht="21" x14ac:dyDescent="0.35">
      <c r="A4" s="2" t="s">
        <v>14</v>
      </c>
      <c r="B4" s="2">
        <v>120</v>
      </c>
      <c r="C4" s="2">
        <v>20</v>
      </c>
      <c r="D4" s="2">
        <f t="shared" si="0"/>
        <v>2400</v>
      </c>
      <c r="F4" s="2" t="s">
        <v>0</v>
      </c>
      <c r="G4" s="2" t="str">
        <f>VLOOKUP(F4,A1:D12,2,0)</f>
        <v>Cost</v>
      </c>
      <c r="H4" s="2" t="str">
        <f>VLOOKUP(F4,A1:E12,3,0)</f>
        <v>Qty</v>
      </c>
      <c r="I4" s="2" t="str">
        <f>VLOOKUP(F4,A1:E12,4,0)</f>
        <v>Sales</v>
      </c>
    </row>
    <row r="5" spans="1:12" ht="21" x14ac:dyDescent="0.35">
      <c r="A5" s="2" t="s">
        <v>3</v>
      </c>
      <c r="B5" s="2">
        <v>7500</v>
      </c>
      <c r="C5" s="2">
        <v>6</v>
      </c>
      <c r="D5" s="2">
        <f t="shared" si="0"/>
        <v>45000</v>
      </c>
    </row>
    <row r="6" spans="1:12" ht="21" x14ac:dyDescent="0.35">
      <c r="A6" s="2" t="s">
        <v>4</v>
      </c>
      <c r="B6" s="2">
        <v>1250</v>
      </c>
      <c r="C6" s="2">
        <v>18</v>
      </c>
      <c r="D6" s="2">
        <f t="shared" si="0"/>
        <v>22500</v>
      </c>
    </row>
    <row r="7" spans="1:12" ht="21" x14ac:dyDescent="0.35">
      <c r="A7" s="2" t="s">
        <v>5</v>
      </c>
      <c r="B7" s="2">
        <v>20000</v>
      </c>
      <c r="C7" s="2">
        <v>2</v>
      </c>
      <c r="D7" s="2">
        <f t="shared" si="0"/>
        <v>40000</v>
      </c>
      <c r="F7" s="11" t="s">
        <v>16</v>
      </c>
      <c r="G7" s="11"/>
    </row>
    <row r="8" spans="1:12" ht="21" x14ac:dyDescent="0.35">
      <c r="A8" s="2" t="s">
        <v>6</v>
      </c>
      <c r="B8" s="2">
        <v>65000</v>
      </c>
      <c r="C8" s="2">
        <v>3</v>
      </c>
      <c r="D8" s="2">
        <f t="shared" si="0"/>
        <v>195000</v>
      </c>
      <c r="F8" s="11"/>
      <c r="G8" s="11"/>
    </row>
    <row r="9" spans="1:12" ht="23.25" x14ac:dyDescent="0.35">
      <c r="A9" s="2" t="s">
        <v>7</v>
      </c>
      <c r="B9" s="2">
        <v>16500</v>
      </c>
      <c r="C9" s="2">
        <v>5</v>
      </c>
      <c r="D9" s="2">
        <f t="shared" si="0"/>
        <v>82500</v>
      </c>
      <c r="F9" s="4" t="s">
        <v>0</v>
      </c>
      <c r="G9" s="1" t="s">
        <v>7</v>
      </c>
    </row>
    <row r="10" spans="1:12" ht="23.25" x14ac:dyDescent="0.35">
      <c r="A10" s="2" t="s">
        <v>8</v>
      </c>
      <c r="B10" s="2">
        <v>850</v>
      </c>
      <c r="C10" s="2">
        <v>13</v>
      </c>
      <c r="D10" s="2">
        <f t="shared" si="0"/>
        <v>11050</v>
      </c>
      <c r="F10" s="4" t="s">
        <v>11</v>
      </c>
      <c r="G10" s="1">
        <f>HLOOKUP(G9,A15:L18,2,0)</f>
        <v>16500</v>
      </c>
    </row>
    <row r="11" spans="1:12" ht="23.25" x14ac:dyDescent="0.35">
      <c r="A11" s="2" t="s">
        <v>9</v>
      </c>
      <c r="B11" s="2">
        <v>1350</v>
      </c>
      <c r="C11" s="2">
        <v>12</v>
      </c>
      <c r="D11" s="2">
        <f t="shared" si="0"/>
        <v>16200</v>
      </c>
      <c r="F11" s="4" t="s">
        <v>12</v>
      </c>
      <c r="G11" s="1">
        <f>HLOOKUP(G9,A15:L18,3,0)</f>
        <v>5</v>
      </c>
    </row>
    <row r="12" spans="1:12" ht="23.25" x14ac:dyDescent="0.35">
      <c r="A12" s="2" t="s">
        <v>10</v>
      </c>
      <c r="B12" s="2">
        <v>320</v>
      </c>
      <c r="C12" s="2">
        <v>10</v>
      </c>
      <c r="D12" s="2">
        <f t="shared" si="0"/>
        <v>3200</v>
      </c>
      <c r="F12" s="4" t="s">
        <v>13</v>
      </c>
      <c r="G12" s="1">
        <f>HLOOKUP(G9,A15:L18,4,0)</f>
        <v>82500</v>
      </c>
    </row>
    <row r="15" spans="1:12" ht="23.25" x14ac:dyDescent="0.35">
      <c r="A15" s="4" t="s">
        <v>0</v>
      </c>
      <c r="B15" s="2" t="s">
        <v>1</v>
      </c>
      <c r="C15" s="2" t="s">
        <v>2</v>
      </c>
      <c r="D15" s="2" t="s">
        <v>14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  <c r="J15" s="2" t="s">
        <v>8</v>
      </c>
      <c r="K15" s="2" t="s">
        <v>9</v>
      </c>
      <c r="L15" s="2" t="s">
        <v>10</v>
      </c>
    </row>
    <row r="16" spans="1:12" ht="23.25" x14ac:dyDescent="0.35">
      <c r="A16" s="4" t="s">
        <v>11</v>
      </c>
      <c r="B16" s="2">
        <v>4500</v>
      </c>
      <c r="C16" s="2">
        <v>250</v>
      </c>
      <c r="D16" s="2">
        <v>120</v>
      </c>
      <c r="E16" s="2">
        <v>7500</v>
      </c>
      <c r="F16" s="2">
        <v>1250</v>
      </c>
      <c r="G16" s="2">
        <v>20000</v>
      </c>
      <c r="H16" s="2">
        <v>65000</v>
      </c>
      <c r="I16" s="2">
        <v>16500</v>
      </c>
      <c r="J16" s="2">
        <v>850</v>
      </c>
      <c r="K16" s="2">
        <v>1350</v>
      </c>
      <c r="L16" s="2">
        <v>320</v>
      </c>
    </row>
    <row r="17" spans="1:12" ht="23.25" x14ac:dyDescent="0.35">
      <c r="A17" s="4" t="s">
        <v>12</v>
      </c>
      <c r="B17" s="2">
        <v>12</v>
      </c>
      <c r="C17" s="2">
        <v>10</v>
      </c>
      <c r="D17" s="2">
        <v>20</v>
      </c>
      <c r="E17" s="2">
        <v>6</v>
      </c>
      <c r="F17" s="2">
        <v>18</v>
      </c>
      <c r="G17" s="2">
        <v>2</v>
      </c>
      <c r="H17" s="2">
        <v>3</v>
      </c>
      <c r="I17" s="2">
        <v>5</v>
      </c>
      <c r="J17" s="2">
        <v>13</v>
      </c>
      <c r="K17" s="2">
        <v>12</v>
      </c>
      <c r="L17" s="2">
        <v>10</v>
      </c>
    </row>
    <row r="18" spans="1:12" ht="23.25" x14ac:dyDescent="0.35">
      <c r="A18" s="4" t="s">
        <v>13</v>
      </c>
      <c r="B18" s="2">
        <f t="shared" ref="B18:L18" si="1">B16*B17</f>
        <v>54000</v>
      </c>
      <c r="C18" s="2">
        <f t="shared" si="1"/>
        <v>2500</v>
      </c>
      <c r="D18" s="2">
        <f t="shared" si="1"/>
        <v>2400</v>
      </c>
      <c r="E18" s="2">
        <f t="shared" si="1"/>
        <v>45000</v>
      </c>
      <c r="F18" s="2">
        <f t="shared" si="1"/>
        <v>22500</v>
      </c>
      <c r="G18" s="2">
        <f t="shared" si="1"/>
        <v>40000</v>
      </c>
      <c r="H18" s="2">
        <f t="shared" si="1"/>
        <v>195000</v>
      </c>
      <c r="I18" s="2">
        <f t="shared" si="1"/>
        <v>82500</v>
      </c>
      <c r="J18" s="2">
        <f t="shared" si="1"/>
        <v>11050</v>
      </c>
      <c r="K18" s="2">
        <f t="shared" si="1"/>
        <v>16200</v>
      </c>
      <c r="L18" s="2">
        <f t="shared" si="1"/>
        <v>3200</v>
      </c>
    </row>
  </sheetData>
  <mergeCells count="2">
    <mergeCell ref="F2:I2"/>
    <mergeCell ref="F7:G8"/>
  </mergeCells>
  <dataValidations count="2">
    <dataValidation type="list" allowBlank="1" showInputMessage="1" showErrorMessage="1" sqref="F4" xr:uid="{702E98A8-432B-4146-9C3E-563757249829}">
      <formula1>$A$1:$A$12</formula1>
    </dataValidation>
    <dataValidation type="list" allowBlank="1" showInputMessage="1" showErrorMessage="1" sqref="G9" xr:uid="{0FA8715B-1CA4-4906-8B7D-AB9C7C6932D9}">
      <formula1>$A$15:$L$15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3B74-6074-42C0-BF89-B84C10A72109}">
  <sheetPr>
    <tabColor theme="9" tint="0.39997558519241921"/>
  </sheetPr>
  <dimension ref="A1:F33"/>
  <sheetViews>
    <sheetView workbookViewId="0">
      <selection activeCell="A8" sqref="A8:A14"/>
    </sheetView>
  </sheetViews>
  <sheetFormatPr defaultRowHeight="15" x14ac:dyDescent="0.25"/>
  <cols>
    <col min="1" max="1" width="10.5703125" bestFit="1" customWidth="1"/>
    <col min="2" max="2" width="17.85546875" bestFit="1" customWidth="1"/>
    <col min="3" max="3" width="14.42578125" bestFit="1" customWidth="1"/>
    <col min="4" max="4" width="11.28515625" customWidth="1"/>
    <col min="5" max="5" width="17.42578125" customWidth="1"/>
    <col min="6" max="6" width="23" customWidth="1"/>
  </cols>
  <sheetData>
    <row r="1" spans="1:6" x14ac:dyDescent="0.25">
      <c r="E1" s="12" t="s">
        <v>23</v>
      </c>
      <c r="F1" s="12"/>
    </row>
    <row r="2" spans="1:6" x14ac:dyDescent="0.25">
      <c r="A2" s="12" t="s">
        <v>25</v>
      </c>
      <c r="B2" s="12"/>
      <c r="C2" s="12"/>
      <c r="E2" s="12" t="s">
        <v>24</v>
      </c>
      <c r="F2" s="12"/>
    </row>
    <row r="3" spans="1:6" ht="21" x14ac:dyDescent="0.35">
      <c r="A3" s="1" t="s">
        <v>19</v>
      </c>
      <c r="B3" s="1" t="s">
        <v>17</v>
      </c>
      <c r="C3" s="1" t="s">
        <v>18</v>
      </c>
      <c r="E3" s="1" t="s">
        <v>17</v>
      </c>
      <c r="F3" s="1" t="s">
        <v>18</v>
      </c>
    </row>
    <row r="4" spans="1:6" ht="21" x14ac:dyDescent="0.35">
      <c r="A4" s="1">
        <v>113</v>
      </c>
      <c r="B4" s="1" t="str">
        <f>_xlfn.IFNA(VLOOKUP(A4,A7:E33,2,0),"Not Found")</f>
        <v>Moniter</v>
      </c>
      <c r="C4" s="1">
        <f>_xlfn.IFNA(VLOOKUP(A4,A7:E33,5,0),"Not Found")</f>
        <v>54000</v>
      </c>
      <c r="E4" s="1" t="s">
        <v>4</v>
      </c>
      <c r="F4" s="1">
        <f>VLOOKUP(E4,B7:E33,4,0)</f>
        <v>22500</v>
      </c>
    </row>
    <row r="7" spans="1:6" ht="21" x14ac:dyDescent="0.35">
      <c r="A7" s="2" t="s">
        <v>19</v>
      </c>
      <c r="B7" s="2" t="s">
        <v>17</v>
      </c>
      <c r="C7" s="2" t="s">
        <v>12</v>
      </c>
      <c r="D7" s="2" t="s">
        <v>22</v>
      </c>
      <c r="E7" s="2" t="s">
        <v>18</v>
      </c>
    </row>
    <row r="8" spans="1:6" ht="21" x14ac:dyDescent="0.35">
      <c r="A8" s="2">
        <v>100</v>
      </c>
      <c r="B8" s="2" t="s">
        <v>1</v>
      </c>
      <c r="C8" s="2">
        <v>12</v>
      </c>
      <c r="D8" s="2">
        <v>4500</v>
      </c>
      <c r="E8" s="2">
        <f>D8*C8</f>
        <v>54000</v>
      </c>
    </row>
    <row r="9" spans="1:6" ht="21" x14ac:dyDescent="0.35">
      <c r="A9" s="2">
        <v>101</v>
      </c>
      <c r="B9" s="2" t="s">
        <v>2</v>
      </c>
      <c r="C9" s="2">
        <v>10</v>
      </c>
      <c r="D9" s="2">
        <v>250</v>
      </c>
      <c r="E9" s="2">
        <f t="shared" ref="E9:E33" si="0">D9*C9</f>
        <v>2500</v>
      </c>
    </row>
    <row r="10" spans="1:6" ht="21" x14ac:dyDescent="0.35">
      <c r="A10" s="2">
        <v>102</v>
      </c>
      <c r="B10" s="2" t="s">
        <v>14</v>
      </c>
      <c r="C10" s="2">
        <v>20</v>
      </c>
      <c r="D10" s="2">
        <v>120</v>
      </c>
      <c r="E10" s="2">
        <f t="shared" si="0"/>
        <v>2400</v>
      </c>
    </row>
    <row r="11" spans="1:6" ht="21" x14ac:dyDescent="0.35">
      <c r="A11" s="2">
        <v>103</v>
      </c>
      <c r="B11" s="2" t="s">
        <v>3</v>
      </c>
      <c r="C11" s="2">
        <v>6</v>
      </c>
      <c r="D11" s="2">
        <v>7500</v>
      </c>
      <c r="E11" s="2">
        <f t="shared" si="0"/>
        <v>45000</v>
      </c>
    </row>
    <row r="12" spans="1:6" ht="21" x14ac:dyDescent="0.35">
      <c r="A12" s="2">
        <v>104</v>
      </c>
      <c r="B12" s="2" t="s">
        <v>4</v>
      </c>
      <c r="C12" s="2">
        <v>18</v>
      </c>
      <c r="D12" s="2">
        <v>1250</v>
      </c>
      <c r="E12" s="2">
        <f t="shared" si="0"/>
        <v>22500</v>
      </c>
    </row>
    <row r="13" spans="1:6" ht="21" x14ac:dyDescent="0.35">
      <c r="A13" s="2">
        <v>105</v>
      </c>
      <c r="B13" s="2" t="s">
        <v>5</v>
      </c>
      <c r="C13" s="2">
        <v>2</v>
      </c>
      <c r="D13" s="2">
        <v>20000</v>
      </c>
      <c r="E13" s="2">
        <f t="shared" si="0"/>
        <v>40000</v>
      </c>
    </row>
    <row r="14" spans="1:6" ht="21" x14ac:dyDescent="0.35">
      <c r="A14" s="2">
        <v>106</v>
      </c>
      <c r="B14" s="2" t="s">
        <v>6</v>
      </c>
      <c r="C14" s="2">
        <v>3</v>
      </c>
      <c r="D14" s="2">
        <v>65000</v>
      </c>
      <c r="E14" s="2">
        <f t="shared" si="0"/>
        <v>195000</v>
      </c>
    </row>
    <row r="15" spans="1:6" ht="21" x14ac:dyDescent="0.35">
      <c r="A15" s="2">
        <v>107</v>
      </c>
      <c r="B15" s="2" t="s">
        <v>7</v>
      </c>
      <c r="C15" s="2">
        <v>5</v>
      </c>
      <c r="D15" s="2">
        <v>16500</v>
      </c>
      <c r="E15" s="2">
        <f t="shared" si="0"/>
        <v>82500</v>
      </c>
    </row>
    <row r="16" spans="1:6" ht="21" x14ac:dyDescent="0.35">
      <c r="A16" s="2">
        <v>108</v>
      </c>
      <c r="B16" s="2" t="s">
        <v>8</v>
      </c>
      <c r="C16" s="2">
        <v>13</v>
      </c>
      <c r="D16" s="2">
        <v>850</v>
      </c>
      <c r="E16" s="2">
        <f t="shared" si="0"/>
        <v>11050</v>
      </c>
    </row>
    <row r="17" spans="1:5" ht="21" x14ac:dyDescent="0.35">
      <c r="A17" s="2">
        <v>109</v>
      </c>
      <c r="B17" s="2" t="s">
        <v>9</v>
      </c>
      <c r="C17" s="2">
        <v>12</v>
      </c>
      <c r="D17" s="2">
        <v>1350</v>
      </c>
      <c r="E17" s="2">
        <f t="shared" si="0"/>
        <v>16200</v>
      </c>
    </row>
    <row r="18" spans="1:5" ht="21" x14ac:dyDescent="0.35">
      <c r="A18" s="2">
        <v>110</v>
      </c>
      <c r="B18" s="2" t="s">
        <v>10</v>
      </c>
      <c r="C18" s="2">
        <v>10</v>
      </c>
      <c r="D18" s="2">
        <v>320</v>
      </c>
      <c r="E18" s="2">
        <f t="shared" si="0"/>
        <v>3200</v>
      </c>
    </row>
    <row r="19" spans="1:5" ht="21" x14ac:dyDescent="0.35">
      <c r="A19" s="2">
        <v>111</v>
      </c>
      <c r="B19" s="5" t="s">
        <v>20</v>
      </c>
      <c r="C19" s="5">
        <v>100</v>
      </c>
      <c r="D19" s="5">
        <v>10</v>
      </c>
      <c r="E19" s="2">
        <f t="shared" si="0"/>
        <v>1000</v>
      </c>
    </row>
    <row r="20" spans="1:5" ht="21" x14ac:dyDescent="0.35">
      <c r="A20" s="2">
        <v>112</v>
      </c>
      <c r="B20" s="5" t="s">
        <v>21</v>
      </c>
      <c r="C20" s="5">
        <v>11</v>
      </c>
      <c r="D20" s="5">
        <v>150</v>
      </c>
      <c r="E20" s="2">
        <f t="shared" si="0"/>
        <v>1650</v>
      </c>
    </row>
    <row r="21" spans="1:5" ht="21" x14ac:dyDescent="0.35">
      <c r="A21" s="2">
        <v>113</v>
      </c>
      <c r="B21" s="2" t="s">
        <v>1</v>
      </c>
      <c r="C21" s="2">
        <v>12</v>
      </c>
      <c r="D21" s="2">
        <v>4500</v>
      </c>
      <c r="E21" s="2">
        <f t="shared" si="0"/>
        <v>54000</v>
      </c>
    </row>
    <row r="22" spans="1:5" ht="21" x14ac:dyDescent="0.35">
      <c r="A22" s="2">
        <v>114</v>
      </c>
      <c r="B22" s="2" t="s">
        <v>2</v>
      </c>
      <c r="C22" s="2">
        <v>10</v>
      </c>
      <c r="D22" s="2">
        <v>250</v>
      </c>
      <c r="E22" s="2">
        <f t="shared" si="0"/>
        <v>2500</v>
      </c>
    </row>
    <row r="23" spans="1:5" ht="21" x14ac:dyDescent="0.35">
      <c r="A23" s="2">
        <v>115</v>
      </c>
      <c r="B23" s="2" t="s">
        <v>14</v>
      </c>
      <c r="C23" s="2">
        <v>20</v>
      </c>
      <c r="D23" s="2">
        <v>120</v>
      </c>
      <c r="E23" s="2">
        <f t="shared" si="0"/>
        <v>2400</v>
      </c>
    </row>
    <row r="24" spans="1:5" ht="21" x14ac:dyDescent="0.35">
      <c r="A24" s="2">
        <v>116</v>
      </c>
      <c r="B24" s="2" t="s">
        <v>3</v>
      </c>
      <c r="C24" s="2">
        <v>6</v>
      </c>
      <c r="D24" s="2">
        <v>7500</v>
      </c>
      <c r="E24" s="2">
        <f t="shared" si="0"/>
        <v>45000</v>
      </c>
    </row>
    <row r="25" spans="1:5" ht="21" x14ac:dyDescent="0.35">
      <c r="A25" s="2">
        <v>117</v>
      </c>
      <c r="B25" s="2" t="s">
        <v>4</v>
      </c>
      <c r="C25" s="2">
        <v>18</v>
      </c>
      <c r="D25" s="2">
        <v>1250</v>
      </c>
      <c r="E25" s="2">
        <f t="shared" si="0"/>
        <v>22500</v>
      </c>
    </row>
    <row r="26" spans="1:5" ht="21" x14ac:dyDescent="0.35">
      <c r="A26" s="2">
        <v>118</v>
      </c>
      <c r="B26" s="2" t="s">
        <v>5</v>
      </c>
      <c r="C26" s="2">
        <v>2</v>
      </c>
      <c r="D26" s="2">
        <v>20000</v>
      </c>
      <c r="E26" s="2">
        <f t="shared" si="0"/>
        <v>40000</v>
      </c>
    </row>
    <row r="27" spans="1:5" ht="21" x14ac:dyDescent="0.35">
      <c r="A27" s="2">
        <v>119</v>
      </c>
      <c r="B27" s="2" t="s">
        <v>6</v>
      </c>
      <c r="C27" s="2">
        <v>3</v>
      </c>
      <c r="D27" s="2">
        <v>65000</v>
      </c>
      <c r="E27" s="2">
        <f t="shared" si="0"/>
        <v>195000</v>
      </c>
    </row>
    <row r="28" spans="1:5" ht="21" x14ac:dyDescent="0.35">
      <c r="A28" s="2">
        <v>120</v>
      </c>
      <c r="B28" s="2" t="s">
        <v>7</v>
      </c>
      <c r="C28" s="2">
        <v>5</v>
      </c>
      <c r="D28" s="2">
        <v>16500</v>
      </c>
      <c r="E28" s="2">
        <f t="shared" si="0"/>
        <v>82500</v>
      </c>
    </row>
    <row r="29" spans="1:5" ht="21" x14ac:dyDescent="0.35">
      <c r="A29" s="2">
        <v>121</v>
      </c>
      <c r="B29" s="2" t="s">
        <v>8</v>
      </c>
      <c r="C29" s="2">
        <v>13</v>
      </c>
      <c r="D29" s="2">
        <v>850</v>
      </c>
      <c r="E29" s="2">
        <f t="shared" si="0"/>
        <v>11050</v>
      </c>
    </row>
    <row r="30" spans="1:5" ht="21" x14ac:dyDescent="0.35">
      <c r="A30" s="2">
        <v>122</v>
      </c>
      <c r="B30" s="2" t="s">
        <v>9</v>
      </c>
      <c r="C30" s="2">
        <v>12</v>
      </c>
      <c r="D30" s="2">
        <v>1350</v>
      </c>
      <c r="E30" s="2">
        <f t="shared" si="0"/>
        <v>16200</v>
      </c>
    </row>
    <row r="31" spans="1:5" ht="21" x14ac:dyDescent="0.35">
      <c r="A31" s="2">
        <v>123</v>
      </c>
      <c r="B31" s="2" t="s">
        <v>10</v>
      </c>
      <c r="C31" s="2">
        <v>10</v>
      </c>
      <c r="D31" s="2">
        <v>320</v>
      </c>
      <c r="E31" s="2">
        <f t="shared" si="0"/>
        <v>3200</v>
      </c>
    </row>
    <row r="32" spans="1:5" ht="21" x14ac:dyDescent="0.35">
      <c r="A32" s="2">
        <v>124</v>
      </c>
      <c r="B32" s="5" t="s">
        <v>20</v>
      </c>
      <c r="C32" s="5">
        <v>100</v>
      </c>
      <c r="D32" s="5">
        <v>10</v>
      </c>
      <c r="E32" s="2">
        <f t="shared" si="0"/>
        <v>1000</v>
      </c>
    </row>
    <row r="33" spans="1:5" ht="21" x14ac:dyDescent="0.35">
      <c r="A33" s="2">
        <v>125</v>
      </c>
      <c r="B33" s="5" t="s">
        <v>21</v>
      </c>
      <c r="C33" s="5">
        <v>11</v>
      </c>
      <c r="D33" s="5">
        <v>150</v>
      </c>
      <c r="E33" s="2">
        <f t="shared" si="0"/>
        <v>1650</v>
      </c>
    </row>
  </sheetData>
  <mergeCells count="3">
    <mergeCell ref="E1:F1"/>
    <mergeCell ref="E2:F2"/>
    <mergeCell ref="A2:C2"/>
  </mergeCells>
  <dataValidations count="1">
    <dataValidation type="list" allowBlank="1" showInputMessage="1" showErrorMessage="1" sqref="A4" xr:uid="{958978A3-FEE7-48B6-A76E-CECC9C26D407}">
      <formula1>$A$7:$A$33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2764-A122-4CC5-96CE-85BCE708274D}">
  <sheetPr>
    <tabColor theme="9" tint="0.39997558519241921"/>
  </sheetPr>
  <dimension ref="A1:G9"/>
  <sheetViews>
    <sheetView workbookViewId="0">
      <selection activeCell="E5" sqref="E5"/>
    </sheetView>
  </sheetViews>
  <sheetFormatPr defaultRowHeight="15" x14ac:dyDescent="0.25"/>
  <cols>
    <col min="1" max="1" width="10.85546875" style="7" bestFit="1" customWidth="1"/>
    <col min="2" max="2" width="23.5703125" bestFit="1" customWidth="1"/>
    <col min="6" max="6" width="10.85546875" bestFit="1" customWidth="1"/>
    <col min="7" max="7" width="23.5703125" bestFit="1" customWidth="1"/>
  </cols>
  <sheetData>
    <row r="1" spans="1:7" ht="21" x14ac:dyDescent="0.35">
      <c r="A1" s="6" t="s">
        <v>30</v>
      </c>
      <c r="B1" s="2" t="s">
        <v>31</v>
      </c>
      <c r="F1" s="2" t="s">
        <v>30</v>
      </c>
      <c r="G1" s="2" t="s">
        <v>32</v>
      </c>
    </row>
    <row r="2" spans="1:7" ht="21" x14ac:dyDescent="0.35">
      <c r="A2" s="6">
        <v>101</v>
      </c>
      <c r="B2" s="2" t="s">
        <v>26</v>
      </c>
      <c r="F2" s="2">
        <v>102</v>
      </c>
      <c r="G2" s="2" t="str">
        <f>VLOOKUP(F2,A1:B9,2,1)</f>
        <v>8 AM - 2 PM</v>
      </c>
    </row>
    <row r="3" spans="1:7" ht="21" x14ac:dyDescent="0.35">
      <c r="A3" s="6">
        <v>105</v>
      </c>
      <c r="B3" s="2" t="s">
        <v>27</v>
      </c>
    </row>
    <row r="4" spans="1:7" ht="21" x14ac:dyDescent="0.35">
      <c r="A4" s="6">
        <v>106</v>
      </c>
      <c r="B4" s="2" t="s">
        <v>28</v>
      </c>
    </row>
    <row r="5" spans="1:7" ht="21" x14ac:dyDescent="0.35">
      <c r="A5" s="6">
        <v>109</v>
      </c>
      <c r="B5" s="2" t="s">
        <v>29</v>
      </c>
    </row>
    <row r="6" spans="1:7" ht="21" x14ac:dyDescent="0.35">
      <c r="A6" s="6">
        <v>111.5</v>
      </c>
      <c r="B6" s="2" t="s">
        <v>26</v>
      </c>
    </row>
    <row r="7" spans="1:7" ht="21" x14ac:dyDescent="0.35">
      <c r="A7" s="6">
        <v>114</v>
      </c>
      <c r="B7" s="2" t="s">
        <v>27</v>
      </c>
    </row>
    <row r="8" spans="1:7" ht="21" x14ac:dyDescent="0.35">
      <c r="A8" s="6">
        <v>116.5</v>
      </c>
      <c r="B8" s="2" t="s">
        <v>28</v>
      </c>
    </row>
    <row r="9" spans="1:7" ht="21" x14ac:dyDescent="0.35">
      <c r="A9" s="6">
        <v>119</v>
      </c>
      <c r="B9" s="2" t="s">
        <v>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1BF0-B730-474B-A44D-7A0BBFD5AF93}">
  <sheetPr>
    <tabColor theme="9" tint="0.39997558519241921"/>
  </sheetPr>
  <dimension ref="A1:G6"/>
  <sheetViews>
    <sheetView workbookViewId="0">
      <selection activeCell="G2" sqref="G2"/>
    </sheetView>
  </sheetViews>
  <sheetFormatPr defaultRowHeight="15" x14ac:dyDescent="0.25"/>
  <sheetData>
    <row r="1" spans="1:7" ht="21" x14ac:dyDescent="0.35">
      <c r="A1" s="8" t="s">
        <v>33</v>
      </c>
      <c r="B1" s="8" t="s">
        <v>34</v>
      </c>
      <c r="F1" s="8" t="s">
        <v>33</v>
      </c>
      <c r="G1">
        <v>98</v>
      </c>
    </row>
    <row r="2" spans="1:7" ht="21" x14ac:dyDescent="0.35">
      <c r="A2" s="1">
        <v>30</v>
      </c>
      <c r="B2" s="1" t="s">
        <v>35</v>
      </c>
      <c r="F2" s="8" t="s">
        <v>34</v>
      </c>
      <c r="G2" t="str">
        <f>_xlfn.IFNA(VLOOKUP(G1,A1:B6,2,1),"Not Found")</f>
        <v>A</v>
      </c>
    </row>
    <row r="3" spans="1:7" ht="21" x14ac:dyDescent="0.35">
      <c r="A3" s="1">
        <v>60</v>
      </c>
      <c r="B3" s="1" t="s">
        <v>36</v>
      </c>
    </row>
    <row r="4" spans="1:7" ht="21" x14ac:dyDescent="0.35">
      <c r="A4" s="1">
        <v>70</v>
      </c>
      <c r="B4" s="1" t="s">
        <v>37</v>
      </c>
    </row>
    <row r="5" spans="1:7" ht="21" x14ac:dyDescent="0.35">
      <c r="A5" s="1">
        <v>80</v>
      </c>
      <c r="B5" s="1" t="s">
        <v>38</v>
      </c>
    </row>
    <row r="6" spans="1:7" ht="21" x14ac:dyDescent="0.35">
      <c r="A6" s="1">
        <v>90</v>
      </c>
      <c r="B6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E0FC-9F7F-4C29-86B8-7ED27F40E247}">
  <sheetPr>
    <tabColor theme="9" tint="0.39997558519241921"/>
  </sheetPr>
  <dimension ref="A1:G10"/>
  <sheetViews>
    <sheetView workbookViewId="0">
      <selection activeCell="F5" sqref="F5"/>
    </sheetView>
  </sheetViews>
  <sheetFormatPr defaultRowHeight="15" x14ac:dyDescent="0.25"/>
  <cols>
    <col min="1" max="1" width="12" bestFit="1" customWidth="1"/>
    <col min="2" max="2" width="13.140625" style="15" bestFit="1" customWidth="1"/>
    <col min="6" max="6" width="12" bestFit="1" customWidth="1"/>
    <col min="7" max="7" width="13.140625" bestFit="1" customWidth="1"/>
  </cols>
  <sheetData>
    <row r="1" spans="1:7" ht="21" x14ac:dyDescent="0.35">
      <c r="A1" s="13" t="s">
        <v>40</v>
      </c>
      <c r="B1" s="14" t="s">
        <v>41</v>
      </c>
      <c r="F1" s="13" t="s">
        <v>40</v>
      </c>
      <c r="G1" s="13" t="s">
        <v>41</v>
      </c>
    </row>
    <row r="2" spans="1:7" x14ac:dyDescent="0.25">
      <c r="A2">
        <v>1</v>
      </c>
      <c r="B2" s="15">
        <v>50</v>
      </c>
      <c r="F2">
        <v>7</v>
      </c>
      <c r="G2" s="15">
        <f>VLOOKUP(F2,A1:B10,2,1)</f>
        <v>50</v>
      </c>
    </row>
    <row r="3" spans="1:7" x14ac:dyDescent="0.25">
      <c r="A3">
        <v>10</v>
      </c>
      <c r="B3" s="15">
        <v>45</v>
      </c>
      <c r="F3">
        <v>58</v>
      </c>
      <c r="G3" s="15">
        <f t="shared" ref="G3:G6" si="0">VLOOKUP(F3,A2:B11,2,1)</f>
        <v>40</v>
      </c>
    </row>
    <row r="4" spans="1:7" x14ac:dyDescent="0.25">
      <c r="A4">
        <v>50</v>
      </c>
      <c r="B4" s="15">
        <v>40</v>
      </c>
      <c r="F4">
        <v>120</v>
      </c>
      <c r="G4" s="15">
        <f t="shared" si="0"/>
        <v>35</v>
      </c>
    </row>
    <row r="5" spans="1:7" x14ac:dyDescent="0.25">
      <c r="A5">
        <v>100</v>
      </c>
      <c r="B5" s="15">
        <v>35</v>
      </c>
      <c r="F5">
        <v>850</v>
      </c>
      <c r="G5" s="15">
        <f t="shared" si="0"/>
        <v>15</v>
      </c>
    </row>
    <row r="6" spans="1:7" x14ac:dyDescent="0.25">
      <c r="A6">
        <v>200</v>
      </c>
      <c r="B6" s="15">
        <v>30</v>
      </c>
      <c r="F6">
        <v>3000</v>
      </c>
      <c r="G6" s="15">
        <f t="shared" si="0"/>
        <v>10</v>
      </c>
    </row>
    <row r="7" spans="1:7" x14ac:dyDescent="0.25">
      <c r="A7">
        <v>300</v>
      </c>
      <c r="B7" s="15">
        <v>25</v>
      </c>
    </row>
    <row r="8" spans="1:7" x14ac:dyDescent="0.25">
      <c r="A8">
        <v>500</v>
      </c>
      <c r="B8" s="15">
        <v>20</v>
      </c>
    </row>
    <row r="9" spans="1:7" x14ac:dyDescent="0.25">
      <c r="A9">
        <v>600</v>
      </c>
      <c r="B9" s="15">
        <v>15</v>
      </c>
    </row>
    <row r="10" spans="1:7" x14ac:dyDescent="0.25">
      <c r="A10">
        <v>1000</v>
      </c>
      <c r="B10" s="15">
        <v>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FC42-20F9-45FA-A548-3FB016B44698}">
  <sheetPr>
    <tabColor theme="9" tint="0.39997558519241921"/>
  </sheetPr>
  <dimension ref="A1:F17"/>
  <sheetViews>
    <sheetView tabSelected="1" workbookViewId="0">
      <selection activeCell="A3" sqref="A3"/>
    </sheetView>
  </sheetViews>
  <sheetFormatPr defaultRowHeight="15" x14ac:dyDescent="0.25"/>
  <cols>
    <col min="1" max="1" width="13.140625" customWidth="1"/>
    <col min="2" max="2" width="17.85546875" bestFit="1" customWidth="1"/>
    <col min="5" max="5" width="9.42578125" customWidth="1"/>
  </cols>
  <sheetData>
    <row r="1" spans="1:6" ht="21" x14ac:dyDescent="0.35">
      <c r="A1" s="16" t="s">
        <v>42</v>
      </c>
      <c r="B1" s="16" t="s">
        <v>43</v>
      </c>
    </row>
    <row r="2" spans="1:6" x14ac:dyDescent="0.25">
      <c r="A2">
        <v>112</v>
      </c>
      <c r="B2" t="str">
        <f>_xlfn.IFNA(VLOOKUP(A2,Table3[#All],2,0),"Not Found")</f>
        <v>USB</v>
      </c>
    </row>
    <row r="4" spans="1:6" ht="21" x14ac:dyDescent="0.35">
      <c r="A4" s="18" t="s">
        <v>42</v>
      </c>
      <c r="B4" s="19" t="s">
        <v>43</v>
      </c>
      <c r="C4" s="19" t="s">
        <v>11</v>
      </c>
      <c r="D4" s="19" t="s">
        <v>12</v>
      </c>
      <c r="E4" s="20" t="s">
        <v>13</v>
      </c>
    </row>
    <row r="5" spans="1:6" ht="21" x14ac:dyDescent="0.35">
      <c r="A5" s="21">
        <v>101</v>
      </c>
      <c r="B5" s="2" t="s">
        <v>1</v>
      </c>
      <c r="C5" s="2">
        <v>4500</v>
      </c>
      <c r="D5" s="2">
        <v>12</v>
      </c>
      <c r="E5" s="22">
        <f>C5*D5</f>
        <v>54000</v>
      </c>
    </row>
    <row r="6" spans="1:6" ht="21" x14ac:dyDescent="0.35">
      <c r="A6" s="21">
        <v>102</v>
      </c>
      <c r="B6" s="2" t="s">
        <v>2</v>
      </c>
      <c r="C6" s="2">
        <v>250</v>
      </c>
      <c r="D6" s="2">
        <v>10</v>
      </c>
      <c r="E6" s="22">
        <f t="shared" ref="E6:E15" si="0">C6*D6</f>
        <v>2500</v>
      </c>
    </row>
    <row r="7" spans="1:6" ht="21" x14ac:dyDescent="0.35">
      <c r="A7" s="21">
        <v>103</v>
      </c>
      <c r="B7" s="2" t="s">
        <v>14</v>
      </c>
      <c r="C7" s="2">
        <v>120</v>
      </c>
      <c r="D7" s="2">
        <v>20</v>
      </c>
      <c r="E7" s="22">
        <f t="shared" si="0"/>
        <v>2400</v>
      </c>
      <c r="F7" s="17"/>
    </row>
    <row r="8" spans="1:6" ht="21" x14ac:dyDescent="0.35">
      <c r="A8" s="21">
        <v>104</v>
      </c>
      <c r="B8" s="2" t="s">
        <v>3</v>
      </c>
      <c r="C8" s="2">
        <v>7500</v>
      </c>
      <c r="D8" s="2">
        <v>6</v>
      </c>
      <c r="E8" s="22">
        <f t="shared" si="0"/>
        <v>45000</v>
      </c>
    </row>
    <row r="9" spans="1:6" ht="21" x14ac:dyDescent="0.35">
      <c r="A9" s="21">
        <v>105</v>
      </c>
      <c r="B9" s="2" t="s">
        <v>4</v>
      </c>
      <c r="C9" s="2">
        <v>1250</v>
      </c>
      <c r="D9" s="2">
        <v>18</v>
      </c>
      <c r="E9" s="22">
        <f t="shared" si="0"/>
        <v>22500</v>
      </c>
    </row>
    <row r="10" spans="1:6" ht="21" x14ac:dyDescent="0.35">
      <c r="A10" s="21">
        <v>106</v>
      </c>
      <c r="B10" s="2" t="s">
        <v>5</v>
      </c>
      <c r="C10" s="2">
        <v>20000</v>
      </c>
      <c r="D10" s="2">
        <v>2</v>
      </c>
      <c r="E10" s="22">
        <f t="shared" si="0"/>
        <v>40000</v>
      </c>
    </row>
    <row r="11" spans="1:6" ht="21" x14ac:dyDescent="0.35">
      <c r="A11" s="21">
        <v>107</v>
      </c>
      <c r="B11" s="2" t="s">
        <v>6</v>
      </c>
      <c r="C11" s="2">
        <v>65000</v>
      </c>
      <c r="D11" s="2">
        <v>3</v>
      </c>
      <c r="E11" s="22">
        <f t="shared" si="0"/>
        <v>195000</v>
      </c>
    </row>
    <row r="12" spans="1:6" ht="21" x14ac:dyDescent="0.35">
      <c r="A12" s="21">
        <v>108</v>
      </c>
      <c r="B12" s="2" t="s">
        <v>7</v>
      </c>
      <c r="C12" s="2">
        <v>16500</v>
      </c>
      <c r="D12" s="2">
        <v>5</v>
      </c>
      <c r="E12" s="22">
        <f t="shared" si="0"/>
        <v>82500</v>
      </c>
    </row>
    <row r="13" spans="1:6" ht="21" x14ac:dyDescent="0.35">
      <c r="A13" s="21">
        <v>109</v>
      </c>
      <c r="B13" s="2" t="s">
        <v>8</v>
      </c>
      <c r="C13" s="2">
        <v>850</v>
      </c>
      <c r="D13" s="2">
        <v>13</v>
      </c>
      <c r="E13" s="22">
        <f t="shared" si="0"/>
        <v>11050</v>
      </c>
    </row>
    <row r="14" spans="1:6" ht="21" x14ac:dyDescent="0.35">
      <c r="A14" s="21">
        <v>110</v>
      </c>
      <c r="B14" s="2" t="s">
        <v>9</v>
      </c>
      <c r="C14" s="2">
        <v>1350</v>
      </c>
      <c r="D14" s="2">
        <v>12</v>
      </c>
      <c r="E14" s="22">
        <f t="shared" si="0"/>
        <v>16200</v>
      </c>
    </row>
    <row r="15" spans="1:6" ht="21" x14ac:dyDescent="0.35">
      <c r="A15" s="23">
        <v>111</v>
      </c>
      <c r="B15" s="24" t="s">
        <v>10</v>
      </c>
      <c r="C15" s="24">
        <v>320</v>
      </c>
      <c r="D15" s="24">
        <v>10</v>
      </c>
      <c r="E15" s="25">
        <f t="shared" si="0"/>
        <v>3200</v>
      </c>
    </row>
    <row r="16" spans="1:6" ht="21" x14ac:dyDescent="0.35">
      <c r="A16" s="23">
        <v>112</v>
      </c>
      <c r="B16" s="24" t="s">
        <v>10</v>
      </c>
      <c r="C16" s="24"/>
      <c r="D16" s="24"/>
      <c r="E16" s="25">
        <f>C16*D16</f>
        <v>0</v>
      </c>
    </row>
    <row r="17" spans="1:5" ht="21" x14ac:dyDescent="0.35">
      <c r="A17" s="23">
        <v>113</v>
      </c>
      <c r="B17" s="24" t="s">
        <v>10</v>
      </c>
      <c r="C17" s="24"/>
      <c r="D17" s="24"/>
      <c r="E17" s="25">
        <f>C17*D17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Basic_Lookup</vt:lpstr>
      <vt:lpstr>Basic_Lookup_1</vt:lpstr>
      <vt:lpstr>Range_Lookup</vt:lpstr>
      <vt:lpstr>Range_Lookup_2</vt:lpstr>
      <vt:lpstr>Range_Lookup_3</vt:lpstr>
      <vt:lpstr>Dynamic_Vlookup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2026-04-23T14:31:37Z</dcterms:created>
  <dcterms:modified xsi:type="dcterms:W3CDTF">2026-04-23T17:39:09Z</dcterms:modified>
</cp:coreProperties>
</file>