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AEA9F97E-55B8-45CB-9205-240C31F95BD6}" xr6:coauthVersionLast="36" xr6:coauthVersionMax="36" xr10:uidLastSave="{00000000-0000-0000-0000-000000000000}"/>
  <bookViews>
    <workbookView xWindow="0" yWindow="0" windowWidth="11265" windowHeight="4470" activeTab="1" xr2:uid="{A3DC319B-5C7A-4B21-9385-0A3D4FF70850}"/>
  </bookViews>
  <sheets>
    <sheet name="Basic" sheetId="1" r:id="rId1"/>
    <sheet name="Menu Order" sheetId="2" r:id="rId2"/>
    <sheet name="Caterin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3" l="1"/>
  <c r="E5" i="2"/>
  <c r="E6" i="2"/>
  <c r="E7" i="2"/>
  <c r="E8" i="2"/>
  <c r="E9" i="2"/>
  <c r="E10" i="2"/>
  <c r="E11" i="2"/>
  <c r="E12" i="2"/>
  <c r="E13" i="2"/>
  <c r="E14" i="2"/>
  <c r="E4" i="2"/>
  <c r="E15" i="2"/>
  <c r="D4" i="2"/>
  <c r="D5" i="2"/>
  <c r="D6" i="2"/>
  <c r="D7" i="2"/>
  <c r="D8" i="2"/>
  <c r="D9" i="2"/>
  <c r="D10" i="2"/>
  <c r="D11" i="2"/>
  <c r="D12" i="2"/>
  <c r="D13" i="2"/>
  <c r="D14" i="2"/>
  <c r="I10" i="1" l="1"/>
  <c r="H14" i="1"/>
  <c r="H5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3" i="1"/>
  <c r="H24" i="1"/>
  <c r="H25" i="1"/>
  <c r="I25" i="1" s="1"/>
  <c r="G5" i="1"/>
  <c r="G8" i="1"/>
  <c r="I8" i="1" s="1"/>
  <c r="G23" i="1"/>
  <c r="I23" i="1" s="1"/>
  <c r="G22" i="1"/>
  <c r="I22" i="1" s="1"/>
  <c r="G21" i="1"/>
  <c r="G24" i="1"/>
  <c r="I24" i="1" s="1"/>
  <c r="G10" i="1"/>
  <c r="G9" i="1"/>
  <c r="I9" i="1" s="1"/>
  <c r="G11" i="1"/>
  <c r="I11" i="1" s="1"/>
  <c r="G12" i="1"/>
  <c r="I12" i="1" s="1"/>
  <c r="G16" i="1"/>
  <c r="I16" i="1" s="1"/>
  <c r="G15" i="1"/>
  <c r="I15" i="1"/>
  <c r="G14" i="1"/>
  <c r="G13" i="1"/>
  <c r="I13" i="1" s="1"/>
  <c r="G17" i="1"/>
  <c r="I17" i="1" s="1"/>
  <c r="G6" i="1"/>
  <c r="G19" i="1"/>
  <c r="I19" i="1" s="1"/>
  <c r="G18" i="1"/>
  <c r="G25" i="1"/>
  <c r="G7" i="1"/>
  <c r="I7" i="1"/>
  <c r="G20" i="1"/>
  <c r="I20" i="1" s="1"/>
  <c r="I21" i="1" l="1"/>
  <c r="I5" i="1"/>
  <c r="I14" i="1"/>
  <c r="I6" i="1"/>
  <c r="I18" i="1"/>
</calcChain>
</file>

<file path=xl/sharedStrings.xml><?xml version="1.0" encoding="utf-8"?>
<sst xmlns="http://schemas.openxmlformats.org/spreadsheetml/2006/main" count="55" uniqueCount="54">
  <si>
    <t>S. No.</t>
  </si>
  <si>
    <t>Name</t>
  </si>
  <si>
    <t>Aman</t>
  </si>
  <si>
    <t>Chirag</t>
  </si>
  <si>
    <t>Richa</t>
  </si>
  <si>
    <t>Reenu</t>
  </si>
  <si>
    <t>Raghav</t>
  </si>
  <si>
    <t>Sandeep</t>
  </si>
  <si>
    <t>Deepak</t>
  </si>
  <si>
    <t>Deepa</t>
  </si>
  <si>
    <t>Deepeka</t>
  </si>
  <si>
    <t>Depanshu</t>
  </si>
  <si>
    <t>Dinash</t>
  </si>
  <si>
    <t>Diksha</t>
  </si>
  <si>
    <t>Dhruv</t>
  </si>
  <si>
    <t>Devi</t>
  </si>
  <si>
    <t>Divya</t>
  </si>
  <si>
    <t>Astha</t>
  </si>
  <si>
    <t>Isha</t>
  </si>
  <si>
    <t>Eahita</t>
  </si>
  <si>
    <t>Veena</t>
  </si>
  <si>
    <t>Chanu</t>
  </si>
  <si>
    <t>Manish</t>
  </si>
  <si>
    <t>English</t>
  </si>
  <si>
    <t>Math</t>
  </si>
  <si>
    <t>Science</t>
  </si>
  <si>
    <t>SST</t>
  </si>
  <si>
    <t>Total</t>
  </si>
  <si>
    <t>Precentage</t>
  </si>
  <si>
    <t>Grade</t>
  </si>
  <si>
    <t>DUCAT</t>
  </si>
  <si>
    <t>SECTOR-144, NOIDA</t>
  </si>
  <si>
    <r>
      <rPr>
        <b/>
        <sz val="13.5"/>
        <rFont val="Calibri"/>
        <family val="1"/>
      </rPr>
      <t>Menu Item</t>
    </r>
  </si>
  <si>
    <r>
      <rPr>
        <b/>
        <sz val="13.5"/>
        <rFont val="Calibri"/>
        <family val="1"/>
      </rPr>
      <t>Price</t>
    </r>
  </si>
  <si>
    <r>
      <rPr>
        <b/>
        <sz val="13.5"/>
        <rFont val="Calibri"/>
        <family val="1"/>
      </rPr>
      <t>Quantity</t>
    </r>
  </si>
  <si>
    <r>
      <rPr>
        <b/>
        <sz val="13.5"/>
        <rFont val="Calibri"/>
        <family val="1"/>
      </rPr>
      <t>Sales Tax</t>
    </r>
  </si>
  <si>
    <r>
      <rPr>
        <sz val="13.5"/>
        <rFont val="Calibri"/>
        <family val="1"/>
      </rPr>
      <t>Empanadas: Beef Picadillo</t>
    </r>
  </si>
  <si>
    <r>
      <rPr>
        <sz val="13.5"/>
        <rFont val="Calibri"/>
        <family val="1"/>
      </rPr>
      <t>Tamales: Chicken Tinga</t>
    </r>
  </si>
  <si>
    <r>
      <rPr>
        <sz val="13.5"/>
        <rFont val="Calibri"/>
        <family val="1"/>
      </rPr>
      <t>Tamales: Vegetable</t>
    </r>
  </si>
  <si>
    <r>
      <rPr>
        <sz val="13.5"/>
        <rFont val="Calibri"/>
        <family val="1"/>
      </rPr>
      <t>Arepas: Carnitas</t>
    </r>
  </si>
  <si>
    <r>
      <rPr>
        <sz val="13.5"/>
        <rFont val="Calibri"/>
        <family val="1"/>
      </rPr>
      <t>Arepas: Queso Blanco</t>
    </r>
  </si>
  <si>
    <r>
      <rPr>
        <sz val="13.5"/>
        <rFont val="Calibri"/>
        <family val="1"/>
      </rPr>
      <t>Empanadas: Apple Cinnamon</t>
    </r>
  </si>
  <si>
    <r>
      <rPr>
        <sz val="13.5"/>
        <rFont val="Calibri"/>
        <family val="1"/>
      </rPr>
      <t>Beverages: Horchata</t>
    </r>
  </si>
  <si>
    <r>
      <rPr>
        <sz val="13.5"/>
        <rFont val="Calibri"/>
        <family val="1"/>
      </rPr>
      <t>Beverages: Lemonade</t>
    </r>
  </si>
  <si>
    <r>
      <rPr>
        <sz val="13.5"/>
        <rFont val="Calibri"/>
        <family val="1"/>
      </rPr>
      <t>Beverages: Tamarindo</t>
    </r>
  </si>
  <si>
    <r>
      <rPr>
        <b/>
        <sz val="13.5"/>
        <rFont val="Calibri"/>
        <family val="1"/>
      </rPr>
      <t>Total</t>
    </r>
  </si>
  <si>
    <t>Empanadas: Chipotle Shrimp</t>
  </si>
  <si>
    <t>Empanadas:  Black Bean &amp; Plantain</t>
  </si>
  <si>
    <r>
      <rPr>
        <b/>
        <sz val="13.5"/>
        <rFont val="Calibri"/>
        <family val="1"/>
      </rPr>
      <t>Requested Services</t>
    </r>
  </si>
  <si>
    <r>
      <rPr>
        <sz val="13.5"/>
        <rFont val="Calibri"/>
        <family val="1"/>
      </rPr>
      <t>Menu Items</t>
    </r>
  </si>
  <si>
    <r>
      <rPr>
        <sz val="13.5"/>
        <rFont val="Calibri"/>
        <family val="1"/>
      </rPr>
      <t>Paper Items (Plates, silverware, cups)</t>
    </r>
  </si>
  <si>
    <r>
      <rPr>
        <sz val="13.5"/>
        <rFont val="Calibri"/>
        <family val="1"/>
      </rPr>
      <t>Rental Equipment (Tables, Chairs, Linens)</t>
    </r>
  </si>
  <si>
    <r>
      <rPr>
        <sz val="13.5"/>
        <rFont val="Calibri"/>
        <family val="1"/>
      </rPr>
      <t>Service Fee (18% of menu items ordered)</t>
    </r>
  </si>
  <si>
    <r>
      <rPr>
        <b/>
        <sz val="13.5"/>
        <rFont val="Calibri"/>
        <family val="1"/>
      </rPr>
      <t>Total Cost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</si>
</sst>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\%"/>
    <numFmt numFmtId="165" formatCode="\$0.00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24"/>
      <color theme="5" tint="-0.499984740745262"/>
      <name val="Imprint MT Shadow"/>
      <family val="5"/>
    </font>
    <font>
      <sz val="10"/>
      <color rgb="FF000000"/>
      <name val="Times New Roman"/>
      <charset val="204"/>
    </font>
    <font>
      <b/>
      <sz val="13.5"/>
      <name val="Calibri"/>
    </font>
    <font>
      <sz val="13.5"/>
      <name val="Calibri"/>
    </font>
    <font>
      <sz val="13.5"/>
      <color rgb="FF000000"/>
      <name val="Calibri"/>
      <family val="2"/>
    </font>
    <font>
      <b/>
      <sz val="13.5"/>
      <color rgb="FF000000"/>
      <name val="Calibri"/>
      <family val="2"/>
    </font>
    <font>
      <b/>
      <sz val="13.5"/>
      <name val="Calibri"/>
      <family val="1"/>
    </font>
    <font>
      <sz val="13.5"/>
      <name val="Calibri"/>
      <family val="1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15E28"/>
      </patternFill>
    </fill>
    <fill>
      <patternFill patternType="solid">
        <fgColor rgb="FF7EC6D0"/>
      </patternFill>
    </fill>
    <fill>
      <patternFill patternType="solid">
        <fgColor rgb="FF8FC439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0" fontId="0" fillId="0" borderId="0" xfId="0" applyProtection="1"/>
    <xf numFmtId="164" fontId="0" fillId="0" borderId="0" xfId="1" applyNumberFormat="1" applyFont="1" applyProtection="1"/>
    <xf numFmtId="164" fontId="0" fillId="0" borderId="0" xfId="0" applyNumberFormat="1" applyProtection="1"/>
    <xf numFmtId="14" fontId="0" fillId="0" borderId="0" xfId="0" applyNumberFormat="1" applyProtection="1"/>
    <xf numFmtId="0" fontId="2" fillId="2" borderId="0" xfId="0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5" fillId="4" borderId="5" xfId="2" applyFont="1" applyFill="1" applyBorder="1" applyAlignment="1">
      <alignment horizontal="center" vertical="top" wrapText="1"/>
    </xf>
    <xf numFmtId="0" fontId="5" fillId="4" borderId="5" xfId="2" applyFont="1" applyFill="1" applyBorder="1" applyAlignment="1">
      <alignment horizontal="left" vertical="top" wrapText="1" indent="4"/>
    </xf>
    <xf numFmtId="0" fontId="5" fillId="4" borderId="5" xfId="2" applyFont="1" applyFill="1" applyBorder="1" applyAlignment="1">
      <alignment horizontal="left" vertical="top" wrapText="1" indent="2"/>
    </xf>
    <xf numFmtId="0" fontId="6" fillId="0" borderId="5" xfId="2" applyFont="1" applyFill="1" applyBorder="1" applyAlignment="1">
      <alignment horizontal="left" vertical="top" wrapText="1"/>
    </xf>
    <xf numFmtId="165" fontId="7" fillId="0" borderId="5" xfId="2" applyNumberFormat="1" applyFont="1" applyFill="1" applyBorder="1" applyAlignment="1">
      <alignment horizontal="right" vertical="top" indent="1" shrinkToFit="1"/>
    </xf>
    <xf numFmtId="1" fontId="7" fillId="0" borderId="5" xfId="2" applyNumberFormat="1" applyFont="1" applyFill="1" applyBorder="1" applyAlignment="1">
      <alignment horizontal="right" vertical="top" shrinkToFit="1"/>
    </xf>
    <xf numFmtId="0" fontId="5" fillId="5" borderId="3" xfId="2" applyFont="1" applyFill="1" applyBorder="1" applyAlignment="1">
      <alignment horizontal="right" vertical="top" wrapText="1" indent="10"/>
    </xf>
    <xf numFmtId="0" fontId="5" fillId="5" borderId="4" xfId="2" applyFont="1" applyFill="1" applyBorder="1" applyAlignment="1">
      <alignment horizontal="right" vertical="top" wrapText="1" indent="10"/>
    </xf>
    <xf numFmtId="0" fontId="10" fillId="0" borderId="5" xfId="2" applyFont="1" applyFill="1" applyBorder="1" applyAlignment="1">
      <alignment horizontal="left" vertical="top" wrapText="1"/>
    </xf>
    <xf numFmtId="0" fontId="6" fillId="0" borderId="5" xfId="2" applyFont="1" applyFill="1" applyBorder="1" applyAlignment="1">
      <alignment horizontal="left" vertical="top" wrapText="1"/>
    </xf>
    <xf numFmtId="165" fontId="8" fillId="0" borderId="5" xfId="2" applyNumberFormat="1" applyFont="1" applyFill="1" applyBorder="1" applyAlignment="1">
      <alignment horizontal="right" vertical="top" indent="1" shrinkToFit="1"/>
    </xf>
    <xf numFmtId="165" fontId="7" fillId="0" borderId="5" xfId="2" applyNumberFormat="1" applyFont="1" applyFill="1" applyBorder="1" applyAlignment="1">
      <alignment horizontal="right" vertical="center" indent="1" shrinkToFit="1"/>
    </xf>
    <xf numFmtId="0" fontId="5" fillId="0" borderId="5" xfId="2" applyFont="1" applyFill="1" applyBorder="1" applyAlignment="1">
      <alignment horizontal="left" vertical="top" wrapText="1"/>
    </xf>
    <xf numFmtId="0" fontId="5" fillId="4" borderId="3" xfId="2" applyFont="1" applyFill="1" applyBorder="1" applyAlignment="1">
      <alignment horizontal="center" vertical="top" wrapText="1"/>
    </xf>
    <xf numFmtId="0" fontId="5" fillId="4" borderId="6" xfId="2" applyFont="1" applyFill="1" applyBorder="1" applyAlignment="1">
      <alignment horizontal="center" vertical="top" wrapText="1"/>
    </xf>
    <xf numFmtId="165" fontId="8" fillId="0" borderId="0" xfId="2" applyNumberFormat="1" applyFont="1" applyFill="1" applyBorder="1" applyAlignment="1">
      <alignment horizontal="right" vertical="top" indent="1" shrinkToFit="1"/>
    </xf>
    <xf numFmtId="0" fontId="5" fillId="4" borderId="3" xfId="2" applyFont="1" applyFill="1" applyBorder="1" applyAlignment="1">
      <alignment horizontal="left" vertical="top" wrapText="1" indent="1"/>
    </xf>
    <xf numFmtId="165" fontId="7" fillId="0" borderId="3" xfId="2" applyNumberFormat="1" applyFont="1" applyFill="1" applyBorder="1" applyAlignment="1">
      <alignment horizontal="left" vertical="top" indent="6" shrinkToFit="1"/>
    </xf>
    <xf numFmtId="166" fontId="8" fillId="3" borderId="7" xfId="2" applyNumberFormat="1" applyFont="1" applyFill="1" applyBorder="1" applyAlignment="1">
      <alignment horizontal="right" vertical="top" shrinkToFit="1"/>
    </xf>
    <xf numFmtId="0" fontId="5" fillId="4" borderId="7" xfId="2" applyFont="1" applyFill="1" applyBorder="1" applyAlignment="1">
      <alignment horizontal="center" vertical="top" wrapText="1"/>
    </xf>
    <xf numFmtId="165" fontId="7" fillId="0" borderId="7" xfId="2" applyNumberFormat="1" applyFont="1" applyFill="1" applyBorder="1" applyAlignment="1">
      <alignment horizontal="right" vertical="top" indent="1" shrinkToFit="1"/>
    </xf>
    <xf numFmtId="165" fontId="8" fillId="0" borderId="7" xfId="2" applyNumberFormat="1" applyFont="1" applyFill="1" applyBorder="1" applyAlignment="1">
      <alignment horizontal="right" vertical="top" indent="1" shrinkToFit="1"/>
    </xf>
    <xf numFmtId="0" fontId="11" fillId="0" borderId="5" xfId="2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Normal 2" xfId="2" xr:uid="{00000000-0005-0000-0000-00002F000000}"/>
  </cellStyles>
  <dxfs count="12"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\%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border outline="0">
        <top style="double">
          <color indexed="64"/>
        </top>
      </border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CCBCCE-C6F6-4E35-AE04-7B0D516037EB}" name="Table1" displayName="Table1" ref="A4:I25" totalsRowShown="0" headerRowDxfId="11" dataDxfId="10" tableBorderDxfId="9">
  <autoFilter ref="A4:I25" xr:uid="{BFE12D49-E67A-40E9-B776-7B7B261E9053}"/>
  <sortState ref="A5:I25">
    <sortCondition ref="B4:B25"/>
  </sortState>
  <tableColumns count="9">
    <tableColumn id="1" xr3:uid="{0DA78E74-939F-4627-A0E8-7087B8A5FFF1}" name="S. No." dataDxfId="8"/>
    <tableColumn id="2" xr3:uid="{14F63085-DA69-43B5-AADA-D4EAFB41EDB8}" name="Name" dataDxfId="7"/>
    <tableColumn id="3" xr3:uid="{92AC9340-2D1B-40EC-AB76-5E467B3F0AD4}" name="English" dataDxfId="6"/>
    <tableColumn id="4" xr3:uid="{64EF4931-BFD6-43B4-B506-4BF64FC12847}" name="Math" dataDxfId="5"/>
    <tableColumn id="5" xr3:uid="{1C35FC01-7EDC-41FB-8A68-10EBF4B66548}" name="Science" dataDxfId="4"/>
    <tableColumn id="6" xr3:uid="{98C35A6E-BA51-494E-AA75-5119B3D68BAC}" name="SST" dataDxfId="3"/>
    <tableColumn id="7" xr3:uid="{5BB6E5BA-8753-4CFF-9180-31ED13343B77}" name="Total" dataDxfId="2">
      <calculatedColumnFormula>SUM(C5:F5)</calculatedColumnFormula>
    </tableColumn>
    <tableColumn id="8" xr3:uid="{163F1EBD-D2E2-4121-B388-9533F299C249}" name="Precentage" dataDxfId="1" dataCellStyle="Comma">
      <calculatedColumnFormula>G5/400*100</calculatedColumnFormula>
    </tableColumn>
    <tableColumn id="9" xr3:uid="{62499E12-A6A9-4B57-9C00-F4AB577BA49B}" name="Grade" dataDxfId="0">
      <calculatedColumnFormula>IF(H5&gt;80,"honoure",IF(H5&gt;60,"First_Division",IF(H5&gt;50,"Second_Division,",IF(H5&gt;40,"Third_Division",IF(H5&lt;=40,"Fail")))))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423D-ED7C-41E4-905F-500FC41A1A54}">
  <dimension ref="A1:N25"/>
  <sheetViews>
    <sheetView topLeftCell="I169" workbookViewId="0">
      <selection activeCell="N13" sqref="N13"/>
    </sheetView>
  </sheetViews>
  <sheetFormatPr defaultRowHeight="15" x14ac:dyDescent="0.25"/>
  <cols>
    <col min="1" max="2" width="9.140625" style="1"/>
    <col min="3" max="3" width="9.42578125" style="1" customWidth="1"/>
    <col min="4" max="4" width="9.140625" style="1"/>
    <col min="5" max="5" width="9.85546875" style="1" customWidth="1"/>
    <col min="6" max="7" width="9.140625" style="1"/>
    <col min="8" max="8" width="13.140625" style="2" customWidth="1"/>
    <col min="9" max="9" width="16.28515625" style="1" bestFit="1" customWidth="1"/>
    <col min="10" max="10" width="9.140625" style="1"/>
    <col min="11" max="11" width="9.7109375" style="1" bestFit="1" customWidth="1"/>
    <col min="12" max="16384" width="9.140625" style="1"/>
  </cols>
  <sheetData>
    <row r="1" spans="1:14" ht="15" customHeight="1" x14ac:dyDescent="0.25">
      <c r="A1" s="6" t="s">
        <v>30</v>
      </c>
      <c r="B1" s="6"/>
      <c r="C1" s="6"/>
      <c r="D1" s="6"/>
      <c r="E1" s="6"/>
      <c r="F1" s="6"/>
      <c r="G1" s="6"/>
      <c r="H1" s="6"/>
      <c r="I1" s="6"/>
    </row>
    <row r="2" spans="1:14" ht="15.75" thickBot="1" x14ac:dyDescent="0.3">
      <c r="A2" s="7"/>
      <c r="B2" s="7"/>
      <c r="C2" s="7"/>
      <c r="D2" s="7"/>
      <c r="E2" s="7"/>
      <c r="F2" s="7"/>
      <c r="G2" s="7"/>
      <c r="H2" s="7"/>
      <c r="I2" s="7"/>
    </row>
    <row r="3" spans="1:14" ht="15.75" thickTop="1" x14ac:dyDescent="0.25">
      <c r="A3" s="5" t="s">
        <v>31</v>
      </c>
      <c r="B3" s="5"/>
      <c r="C3" s="5"/>
      <c r="D3" s="5"/>
      <c r="E3" s="5"/>
      <c r="F3" s="5"/>
      <c r="G3" s="5"/>
      <c r="H3" s="5"/>
      <c r="I3" s="5"/>
    </row>
    <row r="4" spans="1:14" x14ac:dyDescent="0.25">
      <c r="A4" s="1" t="s">
        <v>0</v>
      </c>
      <c r="B4" s="1" t="s">
        <v>1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 t="s">
        <v>28</v>
      </c>
      <c r="I4" s="1" t="s">
        <v>29</v>
      </c>
    </row>
    <row r="5" spans="1:14" x14ac:dyDescent="0.25">
      <c r="A5" s="1">
        <v>1</v>
      </c>
      <c r="B5" s="1" t="s">
        <v>2</v>
      </c>
      <c r="C5" s="1">
        <v>78</v>
      </c>
      <c r="D5" s="1">
        <v>91</v>
      </c>
      <c r="E5" s="1">
        <v>58</v>
      </c>
      <c r="F5" s="1">
        <v>73</v>
      </c>
      <c r="G5" s="1">
        <f t="shared" ref="G5:G25" si="0">SUM(C5:F5)</f>
        <v>300</v>
      </c>
      <c r="H5" s="2">
        <f t="shared" ref="H5:H25" si="1">G5/400*100</f>
        <v>75</v>
      </c>
      <c r="I5" s="1" t="str">
        <f t="shared" ref="I5:I25" si="2">IF(H5&gt;80,"honoure",IF(H5&gt;60,"First_Division",IF(H5&gt;50,"Second_Division,",IF(H5&gt;40,"Third_Division",IF(H5&lt;=40,"Fail")))))</f>
        <v>First_Division</v>
      </c>
    </row>
    <row r="6" spans="1:14" x14ac:dyDescent="0.25">
      <c r="A6" s="1">
        <v>16</v>
      </c>
      <c r="B6" s="1" t="s">
        <v>17</v>
      </c>
      <c r="C6" s="1">
        <v>60</v>
      </c>
      <c r="D6" s="1">
        <v>88</v>
      </c>
      <c r="E6" s="1">
        <v>25</v>
      </c>
      <c r="F6" s="1">
        <v>25</v>
      </c>
      <c r="G6" s="1">
        <f t="shared" si="0"/>
        <v>198</v>
      </c>
      <c r="H6" s="2">
        <f t="shared" si="1"/>
        <v>49.5</v>
      </c>
      <c r="I6" s="1" t="str">
        <f t="shared" si="2"/>
        <v>Third_Division</v>
      </c>
    </row>
    <row r="7" spans="1:14" x14ac:dyDescent="0.25">
      <c r="A7" s="1">
        <v>20</v>
      </c>
      <c r="B7" s="1" t="s">
        <v>21</v>
      </c>
      <c r="C7" s="1">
        <v>84</v>
      </c>
      <c r="D7" s="1">
        <v>72</v>
      </c>
      <c r="E7" s="1">
        <v>36</v>
      </c>
      <c r="F7" s="1">
        <v>93</v>
      </c>
      <c r="G7" s="1">
        <f t="shared" si="0"/>
        <v>285</v>
      </c>
      <c r="H7" s="2">
        <f t="shared" si="1"/>
        <v>71.25</v>
      </c>
      <c r="I7" s="1" t="str">
        <f t="shared" si="2"/>
        <v>First_Division</v>
      </c>
      <c r="K7" s="4"/>
    </row>
    <row r="8" spans="1:14" x14ac:dyDescent="0.25">
      <c r="A8" s="1">
        <v>2</v>
      </c>
      <c r="B8" s="1" t="s">
        <v>3</v>
      </c>
      <c r="C8" s="1">
        <v>96</v>
      </c>
      <c r="D8" s="1">
        <v>46</v>
      </c>
      <c r="E8" s="1">
        <v>59</v>
      </c>
      <c r="F8" s="1">
        <v>83</v>
      </c>
      <c r="G8" s="1">
        <f t="shared" si="0"/>
        <v>284</v>
      </c>
      <c r="H8" s="2">
        <f t="shared" si="1"/>
        <v>71</v>
      </c>
      <c r="I8" s="1" t="str">
        <f t="shared" si="2"/>
        <v>First_Division</v>
      </c>
      <c r="K8" s="4"/>
    </row>
    <row r="9" spans="1:14" x14ac:dyDescent="0.25">
      <c r="A9" s="1">
        <v>8</v>
      </c>
      <c r="B9" s="1" t="s">
        <v>9</v>
      </c>
      <c r="C9" s="1">
        <v>40</v>
      </c>
      <c r="D9" s="1">
        <v>52</v>
      </c>
      <c r="E9" s="1">
        <v>84</v>
      </c>
      <c r="F9" s="1">
        <v>74</v>
      </c>
      <c r="G9" s="1">
        <f t="shared" si="0"/>
        <v>250</v>
      </c>
      <c r="H9" s="2">
        <f t="shared" si="1"/>
        <v>62.5</v>
      </c>
      <c r="I9" s="1" t="str">
        <f t="shared" si="2"/>
        <v>First_Division</v>
      </c>
      <c r="K9" s="4"/>
    </row>
    <row r="10" spans="1:14" x14ac:dyDescent="0.25">
      <c r="A10" s="1">
        <v>7</v>
      </c>
      <c r="B10" s="1" t="s">
        <v>8</v>
      </c>
      <c r="C10" s="1">
        <v>70</v>
      </c>
      <c r="D10" s="1">
        <v>61</v>
      </c>
      <c r="E10" s="1">
        <v>46</v>
      </c>
      <c r="F10" s="1">
        <v>68</v>
      </c>
      <c r="G10" s="1">
        <f t="shared" si="0"/>
        <v>245</v>
      </c>
      <c r="H10" s="2">
        <f t="shared" si="1"/>
        <v>61.250000000000007</v>
      </c>
      <c r="I10" s="1" t="str">
        <f t="shared" si="2"/>
        <v>First_Division</v>
      </c>
      <c r="K10" s="4"/>
      <c r="N10" s="3"/>
    </row>
    <row r="11" spans="1:14" x14ac:dyDescent="0.25">
      <c r="A11" s="1">
        <v>9</v>
      </c>
      <c r="B11" s="1" t="s">
        <v>10</v>
      </c>
      <c r="C11" s="1">
        <v>44</v>
      </c>
      <c r="D11" s="1">
        <v>68</v>
      </c>
      <c r="E11" s="1">
        <v>38</v>
      </c>
      <c r="F11" s="1">
        <v>75</v>
      </c>
      <c r="G11" s="1">
        <f t="shared" si="0"/>
        <v>225</v>
      </c>
      <c r="H11" s="2">
        <f t="shared" si="1"/>
        <v>56.25</v>
      </c>
      <c r="I11" s="1" t="str">
        <f t="shared" si="2"/>
        <v>Second_Division,</v>
      </c>
      <c r="K11" s="4"/>
    </row>
    <row r="12" spans="1:14" x14ac:dyDescent="0.25">
      <c r="A12" s="1">
        <v>10</v>
      </c>
      <c r="B12" s="1" t="s">
        <v>11</v>
      </c>
      <c r="C12" s="1">
        <v>98</v>
      </c>
      <c r="D12" s="1">
        <v>96</v>
      </c>
      <c r="E12" s="1">
        <v>89</v>
      </c>
      <c r="F12" s="1">
        <v>46</v>
      </c>
      <c r="G12" s="1">
        <f t="shared" si="0"/>
        <v>329</v>
      </c>
      <c r="H12" s="2">
        <f t="shared" si="1"/>
        <v>82.25</v>
      </c>
      <c r="I12" s="1" t="str">
        <f t="shared" si="2"/>
        <v>honoure</v>
      </c>
      <c r="K12" s="4"/>
    </row>
    <row r="13" spans="1:14" x14ac:dyDescent="0.25">
      <c r="A13" s="1">
        <v>14</v>
      </c>
      <c r="B13" s="1" t="s">
        <v>15</v>
      </c>
      <c r="C13" s="1">
        <v>52</v>
      </c>
      <c r="D13" s="1">
        <v>36</v>
      </c>
      <c r="E13" s="1">
        <v>83</v>
      </c>
      <c r="F13" s="1">
        <v>94</v>
      </c>
      <c r="G13" s="1">
        <f t="shared" si="0"/>
        <v>265</v>
      </c>
      <c r="H13" s="2">
        <f t="shared" si="1"/>
        <v>66.25</v>
      </c>
      <c r="I13" s="1" t="str">
        <f t="shared" si="2"/>
        <v>First_Division</v>
      </c>
      <c r="K13" s="4"/>
    </row>
    <row r="14" spans="1:14" x14ac:dyDescent="0.25">
      <c r="A14" s="1">
        <v>13</v>
      </c>
      <c r="B14" s="1" t="s">
        <v>14</v>
      </c>
      <c r="C14" s="1">
        <v>96</v>
      </c>
      <c r="D14" s="1">
        <v>61</v>
      </c>
      <c r="E14" s="1">
        <v>56</v>
      </c>
      <c r="F14" s="1">
        <v>91</v>
      </c>
      <c r="G14" s="1">
        <f t="shared" si="0"/>
        <v>304</v>
      </c>
      <c r="H14" s="2">
        <f t="shared" si="1"/>
        <v>76</v>
      </c>
      <c r="I14" s="1" t="str">
        <f t="shared" si="2"/>
        <v>First_Division</v>
      </c>
      <c r="K14" s="4"/>
    </row>
    <row r="15" spans="1:14" x14ac:dyDescent="0.25">
      <c r="A15" s="1">
        <v>12</v>
      </c>
      <c r="B15" s="1" t="s">
        <v>13</v>
      </c>
      <c r="C15" s="1">
        <v>91</v>
      </c>
      <c r="D15" s="1">
        <v>38</v>
      </c>
      <c r="E15" s="1">
        <v>92</v>
      </c>
      <c r="F15" s="1">
        <v>54</v>
      </c>
      <c r="G15" s="1">
        <f t="shared" si="0"/>
        <v>275</v>
      </c>
      <c r="H15" s="2">
        <f t="shared" si="1"/>
        <v>68.75</v>
      </c>
      <c r="I15" s="1" t="str">
        <f t="shared" si="2"/>
        <v>First_Division</v>
      </c>
    </row>
    <row r="16" spans="1:14" x14ac:dyDescent="0.25">
      <c r="A16" s="1">
        <v>11</v>
      </c>
      <c r="B16" s="1" t="s">
        <v>12</v>
      </c>
      <c r="C16" s="1">
        <v>43</v>
      </c>
      <c r="D16" s="1">
        <v>71</v>
      </c>
      <c r="E16" s="1">
        <v>68</v>
      </c>
      <c r="F16" s="1">
        <v>58</v>
      </c>
      <c r="G16" s="1">
        <f t="shared" si="0"/>
        <v>240</v>
      </c>
      <c r="H16" s="2">
        <f t="shared" si="1"/>
        <v>60</v>
      </c>
      <c r="I16" s="1" t="str">
        <f t="shared" si="2"/>
        <v>Second_Division,</v>
      </c>
    </row>
    <row r="17" spans="1:9" x14ac:dyDescent="0.25">
      <c r="A17" s="1">
        <v>15</v>
      </c>
      <c r="B17" s="1" t="s">
        <v>16</v>
      </c>
      <c r="C17" s="1">
        <v>93</v>
      </c>
      <c r="D17" s="1">
        <v>61</v>
      </c>
      <c r="E17" s="1">
        <v>75</v>
      </c>
      <c r="F17" s="1">
        <v>79</v>
      </c>
      <c r="G17" s="1">
        <f t="shared" si="0"/>
        <v>308</v>
      </c>
      <c r="H17" s="2">
        <f t="shared" si="1"/>
        <v>77</v>
      </c>
      <c r="I17" s="1" t="str">
        <f t="shared" si="2"/>
        <v>First_Division</v>
      </c>
    </row>
    <row r="18" spans="1:9" x14ac:dyDescent="0.25">
      <c r="A18" s="1">
        <v>18</v>
      </c>
      <c r="B18" s="1" t="s">
        <v>19</v>
      </c>
      <c r="C18" s="1">
        <v>87</v>
      </c>
      <c r="D18" s="1">
        <v>80</v>
      </c>
      <c r="E18" s="1">
        <v>74</v>
      </c>
      <c r="F18" s="1">
        <v>83</v>
      </c>
      <c r="G18" s="1">
        <f t="shared" si="0"/>
        <v>324</v>
      </c>
      <c r="H18" s="2">
        <f t="shared" si="1"/>
        <v>81</v>
      </c>
      <c r="I18" s="1" t="str">
        <f t="shared" si="2"/>
        <v>honoure</v>
      </c>
    </row>
    <row r="19" spans="1:9" x14ac:dyDescent="0.25">
      <c r="A19" s="1">
        <v>17</v>
      </c>
      <c r="B19" s="1" t="s">
        <v>18</v>
      </c>
      <c r="C19" s="1">
        <v>62</v>
      </c>
      <c r="D19" s="1">
        <v>5</v>
      </c>
      <c r="E19" s="1">
        <v>62</v>
      </c>
      <c r="F19" s="1">
        <v>5</v>
      </c>
      <c r="G19" s="1">
        <f t="shared" si="0"/>
        <v>134</v>
      </c>
      <c r="H19" s="2">
        <f t="shared" si="1"/>
        <v>33.5</v>
      </c>
      <c r="I19" s="1" t="str">
        <f t="shared" si="2"/>
        <v>Fail</v>
      </c>
    </row>
    <row r="20" spans="1:9" x14ac:dyDescent="0.25">
      <c r="A20" s="1">
        <v>21</v>
      </c>
      <c r="B20" s="1" t="s">
        <v>22</v>
      </c>
      <c r="C20" s="1">
        <v>56</v>
      </c>
      <c r="D20" s="1">
        <v>90</v>
      </c>
      <c r="E20" s="1">
        <v>40</v>
      </c>
      <c r="F20" s="1">
        <v>53</v>
      </c>
      <c r="G20" s="1">
        <f t="shared" si="0"/>
        <v>239</v>
      </c>
      <c r="H20" s="2">
        <f t="shared" si="1"/>
        <v>59.75</v>
      </c>
      <c r="I20" s="1" t="str">
        <f t="shared" si="2"/>
        <v>Second_Division,</v>
      </c>
    </row>
    <row r="21" spans="1:9" x14ac:dyDescent="0.25">
      <c r="A21" s="1">
        <v>5</v>
      </c>
      <c r="B21" s="1" t="s">
        <v>6</v>
      </c>
      <c r="C21" s="1">
        <v>95</v>
      </c>
      <c r="D21" s="1">
        <v>56</v>
      </c>
      <c r="E21" s="1">
        <v>59</v>
      </c>
      <c r="F21" s="1">
        <v>93</v>
      </c>
      <c r="G21" s="1">
        <f t="shared" si="0"/>
        <v>303</v>
      </c>
      <c r="H21" s="2">
        <f t="shared" si="1"/>
        <v>75.75</v>
      </c>
      <c r="I21" s="1" t="str">
        <f t="shared" si="2"/>
        <v>First_Division</v>
      </c>
    </row>
    <row r="22" spans="1:9" x14ac:dyDescent="0.25">
      <c r="A22" s="1">
        <v>4</v>
      </c>
      <c r="B22" s="1" t="s">
        <v>5</v>
      </c>
      <c r="C22" s="1">
        <v>96</v>
      </c>
      <c r="D22" s="1">
        <v>53</v>
      </c>
      <c r="E22" s="1">
        <v>72</v>
      </c>
      <c r="F22" s="1">
        <v>89</v>
      </c>
      <c r="G22" s="1">
        <f t="shared" si="0"/>
        <v>310</v>
      </c>
      <c r="H22" s="2">
        <f t="shared" si="1"/>
        <v>77.5</v>
      </c>
      <c r="I22" s="1" t="str">
        <f t="shared" si="2"/>
        <v>First_Division</v>
      </c>
    </row>
    <row r="23" spans="1:9" x14ac:dyDescent="0.25">
      <c r="A23" s="1">
        <v>3</v>
      </c>
      <c r="B23" s="1" t="s">
        <v>4</v>
      </c>
      <c r="C23" s="1">
        <v>95</v>
      </c>
      <c r="D23" s="1">
        <v>80</v>
      </c>
      <c r="E23" s="1">
        <v>89</v>
      </c>
      <c r="F23" s="1">
        <v>53</v>
      </c>
      <c r="G23" s="1">
        <f t="shared" si="0"/>
        <v>317</v>
      </c>
      <c r="H23" s="2">
        <f t="shared" si="1"/>
        <v>79.25</v>
      </c>
      <c r="I23" s="1" t="str">
        <f t="shared" si="2"/>
        <v>First_Division</v>
      </c>
    </row>
    <row r="24" spans="1:9" x14ac:dyDescent="0.25">
      <c r="A24" s="1">
        <v>6</v>
      </c>
      <c r="B24" s="1" t="s">
        <v>7</v>
      </c>
      <c r="C24" s="1">
        <v>43</v>
      </c>
      <c r="D24" s="1">
        <v>68</v>
      </c>
      <c r="E24" s="1">
        <v>80</v>
      </c>
      <c r="F24" s="1">
        <v>39</v>
      </c>
      <c r="G24" s="1">
        <f t="shared" si="0"/>
        <v>230</v>
      </c>
      <c r="H24" s="2">
        <f t="shared" si="1"/>
        <v>57.499999999999993</v>
      </c>
      <c r="I24" s="1" t="str">
        <f t="shared" si="2"/>
        <v>Second_Division,</v>
      </c>
    </row>
    <row r="25" spans="1:9" x14ac:dyDescent="0.25">
      <c r="A25" s="1">
        <v>19</v>
      </c>
      <c r="B25" s="1" t="s">
        <v>20</v>
      </c>
      <c r="C25" s="1">
        <v>53</v>
      </c>
      <c r="D25" s="1">
        <v>92</v>
      </c>
      <c r="E25" s="1">
        <v>45</v>
      </c>
      <c r="F25" s="1">
        <v>81</v>
      </c>
      <c r="G25" s="1">
        <f t="shared" si="0"/>
        <v>271</v>
      </c>
      <c r="H25" s="2">
        <f t="shared" si="1"/>
        <v>67.75</v>
      </c>
      <c r="I25" s="1" t="str">
        <f t="shared" si="2"/>
        <v>First_Division</v>
      </c>
    </row>
  </sheetData>
  <mergeCells count="2">
    <mergeCell ref="A3:I3"/>
    <mergeCell ref="A1:I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6D8C-1268-4352-B6AD-3AAB42DC9363}">
  <dimension ref="A2:E16"/>
  <sheetViews>
    <sheetView tabSelected="1" workbookViewId="0">
      <selection activeCell="E15" sqref="E15"/>
    </sheetView>
  </sheetViews>
  <sheetFormatPr defaultRowHeight="15" x14ac:dyDescent="0.25"/>
  <cols>
    <col min="1" max="1" width="40.5703125" customWidth="1"/>
    <col min="2" max="2" width="15.85546875" customWidth="1"/>
    <col min="3" max="3" width="8.85546875" bestFit="1" customWidth="1"/>
    <col min="4" max="4" width="15" bestFit="1" customWidth="1"/>
    <col min="5" max="5" width="13.7109375" customWidth="1"/>
  </cols>
  <sheetData>
    <row r="2" spans="1:5" ht="18" x14ac:dyDescent="0.25">
      <c r="E2" s="26">
        <v>0.08</v>
      </c>
    </row>
    <row r="3" spans="1:5" ht="23.25" customHeight="1" x14ac:dyDescent="0.25">
      <c r="A3" s="8" t="s">
        <v>32</v>
      </c>
      <c r="B3" s="9" t="s">
        <v>33</v>
      </c>
      <c r="C3" s="10" t="s">
        <v>34</v>
      </c>
      <c r="D3" s="24" t="s">
        <v>35</v>
      </c>
      <c r="E3" s="27" t="s">
        <v>45</v>
      </c>
    </row>
    <row r="4" spans="1:5" ht="25.5" customHeight="1" x14ac:dyDescent="0.25">
      <c r="A4" s="11" t="s">
        <v>36</v>
      </c>
      <c r="B4" s="12">
        <v>2.99</v>
      </c>
      <c r="C4" s="13">
        <v>15</v>
      </c>
      <c r="D4" s="25">
        <f>(B4*C4)*$E$2</f>
        <v>3.5880000000000001</v>
      </c>
      <c r="E4" s="28">
        <f>B4*C4+D4</f>
        <v>48.438000000000002</v>
      </c>
    </row>
    <row r="5" spans="1:5" ht="18" x14ac:dyDescent="0.25">
      <c r="A5" s="16" t="s">
        <v>46</v>
      </c>
      <c r="B5" s="12">
        <v>3.99</v>
      </c>
      <c r="C5" s="13">
        <v>10</v>
      </c>
      <c r="D5" s="25">
        <f t="shared" ref="D5:D14" si="0">(B5*C5)*$E$2</f>
        <v>3.1920000000000006</v>
      </c>
      <c r="E5" s="28">
        <f t="shared" ref="E5:E14" si="1">B5*C5+D5</f>
        <v>43.092000000000006</v>
      </c>
    </row>
    <row r="6" spans="1:5" ht="18" x14ac:dyDescent="0.25">
      <c r="A6" s="16" t="s">
        <v>47</v>
      </c>
      <c r="B6" s="12">
        <v>2.4900000000000002</v>
      </c>
      <c r="C6" s="13">
        <v>20</v>
      </c>
      <c r="D6" s="25">
        <f t="shared" si="0"/>
        <v>3.9840000000000004</v>
      </c>
      <c r="E6" s="28">
        <f t="shared" si="1"/>
        <v>53.784000000000006</v>
      </c>
    </row>
    <row r="7" spans="1:5" ht="18" x14ac:dyDescent="0.25">
      <c r="A7" s="11" t="s">
        <v>37</v>
      </c>
      <c r="B7" s="12">
        <v>2.29</v>
      </c>
      <c r="C7" s="13">
        <v>20</v>
      </c>
      <c r="D7" s="25">
        <f t="shared" si="0"/>
        <v>3.6639999999999997</v>
      </c>
      <c r="E7" s="28">
        <f t="shared" si="1"/>
        <v>49.463999999999999</v>
      </c>
    </row>
    <row r="8" spans="1:5" ht="18" x14ac:dyDescent="0.25">
      <c r="A8" s="11" t="s">
        <v>38</v>
      </c>
      <c r="B8" s="12">
        <v>2.29</v>
      </c>
      <c r="C8" s="13">
        <v>30</v>
      </c>
      <c r="D8" s="25">
        <f t="shared" si="0"/>
        <v>5.4960000000000004</v>
      </c>
      <c r="E8" s="28">
        <f t="shared" si="1"/>
        <v>74.195999999999998</v>
      </c>
    </row>
    <row r="9" spans="1:5" ht="18" x14ac:dyDescent="0.25">
      <c r="A9" s="11" t="s">
        <v>39</v>
      </c>
      <c r="B9" s="12">
        <v>2.89</v>
      </c>
      <c r="C9" s="13">
        <v>10</v>
      </c>
      <c r="D9" s="25">
        <f t="shared" si="0"/>
        <v>2.3120000000000003</v>
      </c>
      <c r="E9" s="28">
        <f t="shared" si="1"/>
        <v>31.212000000000003</v>
      </c>
    </row>
    <row r="10" spans="1:5" ht="18" x14ac:dyDescent="0.25">
      <c r="A10" s="11" t="s">
        <v>40</v>
      </c>
      <c r="B10" s="12">
        <v>2.4900000000000002</v>
      </c>
      <c r="C10" s="13">
        <v>20</v>
      </c>
      <c r="D10" s="25">
        <f t="shared" si="0"/>
        <v>3.9840000000000004</v>
      </c>
      <c r="E10" s="28">
        <f t="shared" si="1"/>
        <v>53.784000000000006</v>
      </c>
    </row>
    <row r="11" spans="1:5" ht="18" customHeight="1" x14ac:dyDescent="0.25">
      <c r="A11" s="11" t="s">
        <v>41</v>
      </c>
      <c r="B11" s="12">
        <v>3.19</v>
      </c>
      <c r="C11" s="13">
        <v>40</v>
      </c>
      <c r="D11" s="25">
        <f t="shared" si="0"/>
        <v>10.208</v>
      </c>
      <c r="E11" s="28">
        <f t="shared" si="1"/>
        <v>137.80799999999999</v>
      </c>
    </row>
    <row r="12" spans="1:5" ht="18" x14ac:dyDescent="0.25">
      <c r="A12" s="11" t="s">
        <v>42</v>
      </c>
      <c r="B12" s="12">
        <v>1.89</v>
      </c>
      <c r="C12" s="13">
        <v>25</v>
      </c>
      <c r="D12" s="25">
        <f t="shared" si="0"/>
        <v>3.7800000000000002</v>
      </c>
      <c r="E12" s="28">
        <f t="shared" si="1"/>
        <v>51.03</v>
      </c>
    </row>
    <row r="13" spans="1:5" ht="18" x14ac:dyDescent="0.25">
      <c r="A13" s="11" t="s">
        <v>43</v>
      </c>
      <c r="B13" s="12">
        <v>1.89</v>
      </c>
      <c r="C13" s="13">
        <v>35</v>
      </c>
      <c r="D13" s="25">
        <f t="shared" si="0"/>
        <v>5.2919999999999998</v>
      </c>
      <c r="E13" s="28">
        <f t="shared" si="1"/>
        <v>71.441999999999993</v>
      </c>
    </row>
    <row r="14" spans="1:5" ht="18" x14ac:dyDescent="0.25">
      <c r="A14" s="11" t="s">
        <v>44</v>
      </c>
      <c r="B14" s="12">
        <v>1.89</v>
      </c>
      <c r="C14" s="13">
        <v>10</v>
      </c>
      <c r="D14" s="25">
        <f t="shared" si="0"/>
        <v>1.512</v>
      </c>
      <c r="E14" s="28">
        <f t="shared" si="1"/>
        <v>20.411999999999999</v>
      </c>
    </row>
    <row r="15" spans="1:5" ht="18" x14ac:dyDescent="0.25">
      <c r="A15" s="14" t="s">
        <v>45</v>
      </c>
      <c r="B15" s="15"/>
      <c r="C15" s="15"/>
      <c r="D15" s="15"/>
      <c r="E15" s="29">
        <f>SUM(E4:E14)</f>
        <v>634.66200000000003</v>
      </c>
    </row>
    <row r="16" spans="1:5" ht="18" x14ac:dyDescent="0.25">
      <c r="E16" s="23"/>
    </row>
  </sheetData>
  <mergeCells count="1"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0009-0431-4C36-B41F-FFD4B011B0F1}">
  <dimension ref="A3:B8"/>
  <sheetViews>
    <sheetView workbookViewId="0">
      <selection activeCell="C13" sqref="C13"/>
    </sheetView>
  </sheetViews>
  <sheetFormatPr defaultRowHeight="15" x14ac:dyDescent="0.25"/>
  <cols>
    <col min="1" max="1" width="49.7109375" customWidth="1"/>
    <col min="2" max="2" width="11" bestFit="1" customWidth="1"/>
  </cols>
  <sheetData>
    <row r="3" spans="1:2" ht="18" x14ac:dyDescent="0.25">
      <c r="A3" s="21" t="s">
        <v>48</v>
      </c>
      <c r="B3" s="22"/>
    </row>
    <row r="4" spans="1:2" ht="18.75" x14ac:dyDescent="0.3">
      <c r="A4" s="17" t="s">
        <v>49</v>
      </c>
      <c r="B4" s="30">
        <f>'Menu Order'!E15</f>
        <v>634.66200000000003</v>
      </c>
    </row>
    <row r="5" spans="1:2" ht="18" x14ac:dyDescent="0.25">
      <c r="A5" s="17" t="s">
        <v>50</v>
      </c>
      <c r="B5" s="19">
        <v>110.87</v>
      </c>
    </row>
    <row r="6" spans="1:2" ht="18" x14ac:dyDescent="0.25">
      <c r="A6" s="17" t="s">
        <v>51</v>
      </c>
      <c r="B6" s="19">
        <v>249.95</v>
      </c>
    </row>
    <row r="7" spans="1:2" ht="18" x14ac:dyDescent="0.25">
      <c r="A7" s="17" t="s">
        <v>52</v>
      </c>
      <c r="B7" s="19">
        <v>0</v>
      </c>
    </row>
    <row r="8" spans="1:2" ht="36" x14ac:dyDescent="0.25">
      <c r="A8" s="20" t="s">
        <v>53</v>
      </c>
      <c r="B8" s="18">
        <v>360.82</v>
      </c>
    </row>
  </sheetData>
  <mergeCells count="1"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</vt:lpstr>
      <vt:lpstr>Menu Order</vt:lpstr>
      <vt:lpstr>Catering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2026-04-17T11:07:33Z</dcterms:created>
  <dcterms:modified xsi:type="dcterms:W3CDTF">2026-04-18T08:40:26Z</dcterms:modified>
</cp:coreProperties>
</file>